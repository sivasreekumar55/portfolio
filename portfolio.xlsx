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va SREEKUMAR\"/>
    </mc:Choice>
  </mc:AlternateContent>
  <xr:revisionPtr revIDLastSave="0" documentId="13_ncr:1_{2EFD49C9-EDB3-4115-93C8-98A44D130886}" xr6:coauthVersionLast="47" xr6:coauthVersionMax="47" xr10:uidLastSave="{00000000-0000-0000-0000-000000000000}"/>
  <bookViews>
    <workbookView xWindow="-120" yWindow="-120" windowWidth="19440" windowHeight="10440" activeTab="3" xr2:uid="{7368CAD1-767B-447A-AAAC-EDE365CEB5CB}"/>
  </bookViews>
  <sheets>
    <sheet name="EMPLOYEE MASTER" sheetId="1" r:id="rId1"/>
    <sheet name="leave appication" sheetId="2" r:id="rId2"/>
    <sheet name="Leave_Balance" sheetId="3" r:id="rId3"/>
    <sheet name="leave summar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7" l="1"/>
  <c r="F5" i="7"/>
  <c r="F7" i="7"/>
  <c r="F11" i="7"/>
  <c r="F12" i="7"/>
  <c r="F13" i="7"/>
  <c r="F14" i="7"/>
  <c r="E5" i="7"/>
  <c r="E7" i="7"/>
  <c r="E11" i="7"/>
  <c r="E12" i="7"/>
  <c r="E13" i="7"/>
  <c r="E14" i="7"/>
  <c r="D5" i="7"/>
  <c r="G5" i="7" s="1"/>
  <c r="D7" i="7"/>
  <c r="G7" i="7" s="1"/>
  <c r="D11" i="7"/>
  <c r="G11" i="7" s="1"/>
  <c r="D12" i="7"/>
  <c r="G12" i="7" s="1"/>
  <c r="D13" i="7"/>
  <c r="D14" i="7"/>
  <c r="G14" i="7" s="1"/>
  <c r="F15" i="3"/>
  <c r="F16" i="3"/>
  <c r="F17" i="3"/>
  <c r="F14" i="3"/>
  <c r="F3" i="3"/>
  <c r="F4" i="3"/>
  <c r="F5" i="3"/>
  <c r="F6" i="3"/>
  <c r="F7" i="3"/>
  <c r="F8" i="3"/>
  <c r="F9" i="3"/>
  <c r="F10" i="3"/>
  <c r="F11" i="3"/>
  <c r="F12" i="3"/>
  <c r="F1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2" i="3"/>
  <c r="D15" i="7" s="1"/>
  <c r="E24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F18" i="3"/>
  <c r="F19" i="3"/>
  <c r="F20" i="3"/>
  <c r="F21" i="3"/>
  <c r="F22" i="3"/>
  <c r="F23" i="3"/>
  <c r="F24" i="3"/>
  <c r="F25" i="3"/>
  <c r="F26" i="3"/>
  <c r="F27" i="3"/>
  <c r="F28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36" i="7"/>
  <c r="C37" i="7"/>
  <c r="C38" i="7"/>
  <c r="C39" i="7"/>
  <c r="C40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6" i="7"/>
  <c r="B36" i="7"/>
  <c r="B37" i="7"/>
  <c r="B38" i="7"/>
  <c r="B39" i="7"/>
  <c r="B40" i="7"/>
  <c r="B2" i="7"/>
  <c r="C18" i="3"/>
  <c r="C19" i="3"/>
  <c r="C20" i="3"/>
  <c r="C21" i="3"/>
  <c r="C22" i="3"/>
  <c r="C23" i="3"/>
  <c r="C24" i="3"/>
  <c r="C25" i="3"/>
  <c r="C26" i="3"/>
  <c r="C27" i="3"/>
  <c r="C28" i="3"/>
  <c r="E2" i="2"/>
  <c r="D8" i="3" l="1" a="1"/>
  <c r="D8" i="3" s="1"/>
  <c r="G13" i="7"/>
  <c r="E6" i="7"/>
  <c r="F6" i="7"/>
  <c r="D8" i="7"/>
  <c r="F10" i="7"/>
  <c r="D10" i="7"/>
  <c r="E8" i="7"/>
  <c r="F4" i="7"/>
  <c r="D4" i="7"/>
  <c r="F3" i="7"/>
  <c r="E3" i="7"/>
  <c r="E9" i="7"/>
  <c r="F9" i="7"/>
  <c r="C16" i="3"/>
  <c r="D16" i="3" a="1"/>
  <c r="D16" i="3" s="1"/>
  <c r="C17" i="3"/>
  <c r="D17" i="3" a="1"/>
  <c r="D17" i="3" s="1"/>
  <c r="C15" i="3"/>
  <c r="D15" i="3" a="1"/>
  <c r="D15" i="3" s="1"/>
  <c r="D9" i="3" a="1"/>
  <c r="D9" i="3" s="1"/>
  <c r="D11" i="3" a="1"/>
  <c r="D11" i="3" s="1"/>
  <c r="D12" i="3" a="1"/>
  <c r="D12" i="3" s="1"/>
  <c r="D13" i="3" a="1"/>
  <c r="D13" i="3" s="1"/>
  <c r="D10" i="3" a="1"/>
  <c r="D10" i="3" s="1"/>
  <c r="D14" i="3" a="1"/>
  <c r="D14" i="3" s="1"/>
  <c r="D7" i="3" a="1"/>
  <c r="D7" i="3" s="1"/>
  <c r="D6" i="3" a="1"/>
  <c r="D6" i="3" s="1"/>
  <c r="D4" i="3" a="1"/>
  <c r="D4" i="3" s="1"/>
  <c r="D5" i="3" a="1"/>
  <c r="D5" i="3" s="1"/>
  <c r="D3" i="3" a="1"/>
  <c r="D3" i="3" s="1"/>
  <c r="E16" i="3" l="1"/>
  <c r="E4" i="7" s="1"/>
  <c r="G4" i="7" s="1"/>
  <c r="E17" i="3"/>
  <c r="E15" i="3"/>
  <c r="D3" i="7" s="1"/>
  <c r="G3" i="7" s="1"/>
  <c r="C7" i="3" l="1"/>
  <c r="E7" i="3" s="1"/>
  <c r="C4" i="3"/>
  <c r="E4" i="3" s="1"/>
  <c r="D6" i="7" s="1"/>
  <c r="G6" i="7" s="1"/>
  <c r="C11" i="3"/>
  <c r="E11" i="3" s="1"/>
  <c r="C13" i="3"/>
  <c r="E13" i="3" s="1"/>
  <c r="C9" i="3"/>
  <c r="E9" i="3" s="1"/>
  <c r="C8" i="3"/>
  <c r="E8" i="3" s="1"/>
  <c r="C6" i="3"/>
  <c r="E6" i="3" s="1"/>
  <c r="C5" i="3"/>
  <c r="E5" i="3" s="1"/>
  <c r="E10" i="7" s="1"/>
  <c r="G10" i="7" s="1"/>
  <c r="C12" i="3"/>
  <c r="E12" i="3" s="1"/>
  <c r="C14" i="3"/>
  <c r="E14" i="3" s="1"/>
  <c r="C10" i="3"/>
  <c r="E10" i="3" s="1"/>
  <c r="C3" i="3"/>
  <c r="E3" i="3" s="1"/>
  <c r="F8" i="7" s="1"/>
  <c r="G8" i="7" s="1"/>
  <c r="D2" i="7" l="1"/>
  <c r="C2" i="3"/>
  <c r="D2" i="3" a="1"/>
  <c r="D2" i="3" s="1"/>
  <c r="E2" i="3" l="1"/>
  <c r="F15" i="7" l="1"/>
  <c r="F2" i="7"/>
  <c r="D9" i="7"/>
  <c r="G9" i="7" s="1"/>
  <c r="E15" i="7"/>
  <c r="E2" i="7"/>
  <c r="G15" i="7" l="1"/>
  <c r="G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<sst xmlns="http://schemas.openxmlformats.org/spreadsheetml/2006/main" count="243" uniqueCount="113">
  <si>
    <t>Department</t>
  </si>
  <si>
    <t>E001</t>
  </si>
  <si>
    <t>Rahul Nair</t>
  </si>
  <si>
    <t>Logistics</t>
  </si>
  <si>
    <t>E002</t>
  </si>
  <si>
    <t>Anjali Menon</t>
  </si>
  <si>
    <t>Accounts</t>
  </si>
  <si>
    <t>E003</t>
  </si>
  <si>
    <t>Suresh Kumar</t>
  </si>
  <si>
    <t>HR</t>
  </si>
  <si>
    <t>E004</t>
  </si>
  <si>
    <t>Operations</t>
  </si>
  <si>
    <t>E005</t>
  </si>
  <si>
    <t>E006</t>
  </si>
  <si>
    <t>E007</t>
  </si>
  <si>
    <t>Sales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</si>
  <si>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</si>
  <si>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</si>
  <si>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</si>
  <si>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</si>
  <si>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</si>
  <si>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</si>
  <si>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</si>
  <si>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</si>
  <si>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</si>
  <si>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</si>
  <si>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Ramesh Iyer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</si>
  <si>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</si>
  <si>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</si>
  <si>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</si>
  <si>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</si>
  <si>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</si>
  <si>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</si>
  <si>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</si>
  <si>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</si>
  <si>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</si>
  <si>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</si>
  <si>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Rohit Verma</t>
  </si>
  <si>
    <t>E028</t>
  </si>
  <si>
    <t>E029</t>
  </si>
  <si>
    <t>E030</t>
  </si>
  <si>
    <t>E031</t>
  </si>
  <si>
    <t>E032</t>
  </si>
  <si>
    <t>Deepa Menon</t>
  </si>
  <si>
    <t>E033</t>
  </si>
  <si>
    <t>E034</t>
  </si>
  <si>
    <t>E035</t>
  </si>
  <si>
    <t>E036</t>
  </si>
  <si>
    <t>E037</t>
  </si>
  <si>
    <t>E038</t>
  </si>
  <si>
    <t>E039</t>
  </si>
  <si>
    <t>Status</t>
  </si>
  <si>
    <t>Approved</t>
  </si>
  <si>
    <t>Employee_ID</t>
  </si>
  <si>
    <t>Leave_Type</t>
  </si>
  <si>
    <t>Arjun Kumar</t>
  </si>
  <si>
    <t>Sneha Pillai</t>
  </si>
  <si>
    <t>Vishnu Das</t>
  </si>
  <si>
    <t>Neha Sharma</t>
  </si>
  <si>
    <t>Priya Iyer</t>
  </si>
  <si>
    <t>Akash Singh</t>
  </si>
  <si>
    <t>Kavya Nair</t>
  </si>
  <si>
    <t>Aditi Rao</t>
  </si>
  <si>
    <t>Manish Gupta</t>
  </si>
  <si>
    <t>Kiran Patel</t>
  </si>
  <si>
    <t>Ritu Malhotra</t>
  </si>
  <si>
    <t>Sanjay Rao</t>
  </si>
  <si>
    <t>Meera Joshi</t>
  </si>
  <si>
    <t>Nikhil Anand</t>
  </si>
  <si>
    <t>Pooja Sharma</t>
  </si>
  <si>
    <t>Divya Nair</t>
  </si>
  <si>
    <t>Mohit Khanna</t>
  </si>
  <si>
    <t>Anu Varghese</t>
  </si>
  <si>
    <t>Prakash Reddy</t>
  </si>
  <si>
    <t>Shalini Gupta</t>
  </si>
  <si>
    <t>Varun Mehta</t>
  </si>
  <si>
    <t>Riya Kapoor</t>
  </si>
  <si>
    <t>Sunil Nair</t>
  </si>
  <si>
    <t>Anusha Pillai</t>
  </si>
  <si>
    <t>Amit Shah</t>
  </si>
  <si>
    <t>Neelam Roy</t>
  </si>
  <si>
    <t>Deepak Mishra</t>
  </si>
  <si>
    <t>Reshma Thomas</t>
  </si>
  <si>
    <t>Alok Srivastava</t>
  </si>
  <si>
    <t>Snehal Patil</t>
  </si>
  <si>
    <t>Karthik R</t>
  </si>
  <si>
    <t>Jyothi Menon</t>
  </si>
  <si>
    <t>Naveen Kumar</t>
  </si>
  <si>
    <t>Sick</t>
  </si>
  <si>
    <t>Annual</t>
  </si>
  <si>
    <t>Casual</t>
  </si>
  <si>
    <t>Pending</t>
  </si>
  <si>
    <t>Employee Name</t>
  </si>
  <si>
    <t>Annual_Remaining</t>
  </si>
  <si>
    <t>Casual_Remaining</t>
  </si>
  <si>
    <t>Sick_Remaining</t>
  </si>
  <si>
    <t>Total_Remaining</t>
  </si>
  <si>
    <t>Rejected</t>
  </si>
  <si>
    <t>EMPLOYEE NAME</t>
  </si>
  <si>
    <t>REMAINING LEAVES</t>
  </si>
  <si>
    <t>USED LEAVES</t>
  </si>
  <si>
    <t>TOTAL LEAVE</t>
  </si>
  <si>
    <t>EMPLOYEE ID</t>
  </si>
  <si>
    <t>DEPARTMENT</t>
  </si>
  <si>
    <t>DATE OF JOINING</t>
  </si>
  <si>
    <t>ANNUAL LEAVE</t>
  </si>
  <si>
    <t>SICK LEAVE</t>
  </si>
  <si>
    <t>CASUAL LEAVE</t>
  </si>
  <si>
    <t>Employee Id</t>
  </si>
  <si>
    <t>Start Date</t>
  </si>
  <si>
    <t>End Date</t>
  </si>
  <si>
    <t>No of Days</t>
  </si>
  <si>
    <t>EMPLOYEE LEAVE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</si>
</sst>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rial Black"/>
      <family val="2"/>
    </font>
    <font>
      <b/>
      <sz val="11"/>
      <color theme="0"/>
      <name val="Arial Black"/>
      <family val="2"/>
    </font>
    <font>
      <sz val="10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Arial Black"/>
      <family val="2"/>
    </font>
    <font>
      <b/>
      <sz val="11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b/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gradientFill degree="90">
          <stop position="0">
            <color theme="0"/>
          </stop>
          <stop position="1">
            <color rgb="FFFF8B8B"/>
          </stop>
        </gradientFill>
      </fill>
    </dxf>
    <dxf>
      <font>
        <b/>
        <i val="0"/>
        <color theme="1"/>
      </font>
      <fill>
        <patternFill>
          <bgColor rgb="FFFFFF00"/>
        </patternFill>
      </fill>
    </dxf>
    <dxf>
      <fill>
        <patternFill>
          <bgColor rgb="FFCEFEE5"/>
        </patternFill>
      </fill>
    </dxf>
    <dxf>
      <font>
        <color theme="1"/>
      </font>
      <fill>
        <patternFill>
          <bgColor rgb="FFEDDFFD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5757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  <color theme="1"/>
      </font>
      <fill>
        <patternFill>
          <bgColor rgb="FFFFFF00"/>
        </patternFill>
      </fill>
    </dxf>
    <dxf>
      <font>
        <b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</dxf>
    <dxf>
      <fill>
        <patternFill>
          <bgColor theme="9" tint="0.39994506668294322"/>
        </patternFill>
      </fill>
    </dxf>
    <dxf>
      <alignment horizontal="center" vertical="center" textRotation="0" indent="0" justifyLastLine="0" shrinkToFit="0" readingOrder="0"/>
    </dxf>
  </dxfs>
  <tableStyles count="1" defaultTableStyle="TableStyleMedium2" defaultPivotStyle="PivotStyleLight16">
    <tableStyle name="Table Style 1" pivot="0" count="1" xr9:uid="{20889BCE-E2AC-44AC-8A41-AD0C159329E0}">
      <tableStyleElement type="wholeTable" dxfId="30"/>
    </tableStyle>
  </tableStyles>
  <colors>
    <mruColors>
      <color rgb="FFFF8B8B"/>
      <color rgb="FFFF5757"/>
      <color rgb="FFB1FDF9"/>
      <color rgb="FFCEFEE5"/>
      <color rgb="FFEDDFFD"/>
      <color rgb="FFFEC9B8"/>
      <color rgb="FFF9B3EC"/>
      <color rgb="FF9966FF"/>
      <color rgb="FFFDBEB1"/>
      <color rgb="FFFDB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B94A72-2C58-456E-979C-7F94081D10C8}" name="Table3" displayName="Table3" ref="A2:G41" totalsRowShown="0" headerRowDxfId="1" dataDxfId="29">
  <autoFilter ref="A2:G41" xr:uid="{25B94A72-2C58-456E-979C-7F94081D10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16ABC6D-E535-45C8-BD37-0CCF1F4505E5}" name="EMPLOYEE ID" dataDxfId="8"/>
    <tableColumn id="2" xr3:uid="{522CCCF0-246D-4097-838E-F3C6D16D1D3F}" name="EMPLOYEE NAME" dataDxfId="7"/>
    <tableColumn id="3" xr3:uid="{77F4232F-3A5A-4E63-8C7F-22808594C0FD}" name="DEPARTMENT" dataDxfId="6"/>
    <tableColumn id="4" xr3:uid="{3B3AB95F-7D4E-42B6-8D4D-D1E72B6E3D93}" name="DATE OF JOINING" dataDxfId="5"/>
    <tableColumn id="5" xr3:uid="{C7134D76-C298-40E4-B7EE-D49AEEE17D1F}" name="ANNUAL LEAVE" dataDxfId="4"/>
    <tableColumn id="6" xr3:uid="{3CD78FDE-C68C-4A03-8249-E0CDFBD03AB9}" name="SICK LEAVE" dataDxfId="3"/>
    <tableColumn id="7" xr3:uid="{8E542C98-63DD-4A62-9AAF-018E7DF6E0EF}" name="CASUAL LEAVE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961D5-B29D-42FB-BBB3-FDC66C886940}" name="Table1" displayName="Table1" ref="A1:F17" headerRowDxfId="0" dataDxfId="31">
  <autoFilter ref="A1:F17" xr:uid="{B60961D5-B29D-42FB-BBB3-FDC66C8869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49875F-7F86-46DC-B23C-89781B29EBD0}" name="Employee_ID" totalsRowLabel="Total" dataDxfId="19" totalsRowDxfId="23"/>
    <tableColumn id="2" xr3:uid="{0D5A5BE1-9A67-42C8-A696-FE3F3DD83241}" name="Leave_Type" dataDxfId="17" totalsRowDxfId="24">
      <calculatedColumnFormula>_xlfn.IFNA(VLOOKUP(Table1[[#This Row],[Employee_ID]],'leave appication'!$A$1:$B$30,2,FALSE),"NOT IN LIST")</calculatedColumnFormula>
    </tableColumn>
    <tableColumn id="3" xr3:uid="{1B4467D7-0900-42FB-84F0-B4F490E92D81}" name="TOTAL LEAVE" dataDxfId="18" totalsRowDxfId="25">
      <calculatedColumnFormula>IF(B2="Annual",VLOOKUP(A2,'EMPLOYEE MASTER'!A:G,5,FALSE),IF(B2="Casual",VLOOKUP(A2,'EMPLOYEE MASTER'!A:G,7,FALSE),IF(B2="Sick",VLOOKUP(A2,'EMPLOYEE MASTER'!A:G,6,FALSE),"")))</calculatedColumnFormula>
    </tableColumn>
    <tableColumn id="4" xr3:uid="{13210264-5D84-4B6D-9C69-5B0A7C1E995B}" name="USED LEAVES" dataDxfId="22" totalsRowDxfId="26">
      <calculatedColumnFormula array="1">SUMPRODUCT(('leave appication'!$A$2:$A$100=$A2)*('leave appication'!$B$2:$B$100=$B2)*('leave appication'!$F$2:$F$100="Approved")*('leave appication'!$E$2:$E$100))</calculatedColumnFormula>
    </tableColumn>
    <tableColumn id="5" xr3:uid="{C6697E47-83F6-4C72-8C57-97C0383F3016}" name="REMAINING LEAVES" dataDxfId="20" totalsRowDxfId="27">
      <calculatedColumnFormula>MAX(0,Leave_Balance!C2-Leave_Balance!D2)</calculatedColumnFormula>
    </tableColumn>
    <tableColumn id="6" xr3:uid="{1882F57D-84BC-4371-A909-9EF432A4C00E}" name="EMPLOYEE NAME" totalsRowFunction="count" dataDxfId="21" totalsRowDxfId="28">
      <calculatedColumnFormula>IFERROR(VLOOKUP(A2,'EMPLOYEE MASTER'!A2:C41,2,FALSE),"")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C029-E6E6-4DE0-A017-F40C328FD646}">
  <dimension ref="A1:G42"/>
  <sheetViews>
    <sheetView workbookViewId="0">
      <selection activeCell="D6" sqref="D6"/>
    </sheetView>
  </sheetViews>
  <sheetFormatPr defaultColWidth="20.42578125" defaultRowHeight="17.25" customHeight="1" x14ac:dyDescent="0.25"/>
  <sheetData>
    <row r="1" spans="1:7" ht="33.75" customHeight="1" x14ac:dyDescent="0.25">
      <c r="A1" s="27" t="s">
        <v>112</v>
      </c>
      <c r="B1" s="27"/>
      <c r="C1" s="27"/>
      <c r="D1" s="27"/>
      <c r="E1" s="27"/>
      <c r="F1" s="27"/>
      <c r="G1" s="27"/>
    </row>
    <row r="2" spans="1:7" ht="25.5" customHeight="1" x14ac:dyDescent="0.25">
      <c r="A2" s="25" t="s">
        <v>102</v>
      </c>
      <c r="B2" s="25" t="s">
        <v>98</v>
      </c>
      <c r="C2" s="25" t="s">
        <v>103</v>
      </c>
      <c r="D2" s="25" t="s">
        <v>104</v>
      </c>
      <c r="E2" s="25" t="s">
        <v>105</v>
      </c>
      <c r="F2" s="25" t="s">
        <v>106</v>
      </c>
      <c r="G2" s="25" t="s">
        <v>107</v>
      </c>
    </row>
    <row r="3" spans="1:7" ht="17.25" customHeight="1" x14ac:dyDescent="0.25">
      <c r="A3" s="11" t="s">
        <v>1</v>
      </c>
      <c r="B3" s="11" t="s">
        <v>2</v>
      </c>
      <c r="C3" s="11" t="s">
        <v>3</v>
      </c>
      <c r="D3" s="26">
        <v>44571</v>
      </c>
      <c r="E3" s="11">
        <v>18</v>
      </c>
      <c r="F3" s="11">
        <v>10</v>
      </c>
      <c r="G3" s="11">
        <v>7</v>
      </c>
    </row>
    <row r="4" spans="1:7" ht="17.25" customHeight="1" x14ac:dyDescent="0.25">
      <c r="A4" s="11" t="s">
        <v>4</v>
      </c>
      <c r="B4" s="11" t="s">
        <v>5</v>
      </c>
      <c r="C4" s="11" t="s">
        <v>6</v>
      </c>
      <c r="D4" s="26">
        <v>44260</v>
      </c>
      <c r="E4" s="11">
        <v>18</v>
      </c>
      <c r="F4" s="11">
        <v>10</v>
      </c>
      <c r="G4" s="11">
        <v>7</v>
      </c>
    </row>
    <row r="5" spans="1:7" ht="17.25" customHeight="1" x14ac:dyDescent="0.25">
      <c r="A5" s="11" t="s">
        <v>7</v>
      </c>
      <c r="B5" s="11" t="s">
        <v>55</v>
      </c>
      <c r="C5" s="11" t="s">
        <v>11</v>
      </c>
      <c r="D5" s="26">
        <v>43994</v>
      </c>
      <c r="E5" s="11">
        <v>18</v>
      </c>
      <c r="F5" s="11">
        <v>10</v>
      </c>
      <c r="G5" s="11">
        <v>7</v>
      </c>
    </row>
    <row r="6" spans="1:7" ht="17.25" customHeight="1" x14ac:dyDescent="0.25">
      <c r="A6" s="11" t="s">
        <v>10</v>
      </c>
      <c r="B6" s="11" t="s">
        <v>56</v>
      </c>
      <c r="C6" s="11" t="s">
        <v>9</v>
      </c>
      <c r="D6" s="26">
        <v>43695</v>
      </c>
      <c r="E6" s="11">
        <v>18</v>
      </c>
      <c r="F6" s="11">
        <v>10</v>
      </c>
      <c r="G6" s="11">
        <v>7</v>
      </c>
    </row>
    <row r="7" spans="1:7" ht="17.25" customHeight="1" x14ac:dyDescent="0.25">
      <c r="A7" s="11" t="s">
        <v>12</v>
      </c>
      <c r="B7" s="11" t="s">
        <v>57</v>
      </c>
      <c r="C7" s="11" t="s">
        <v>3</v>
      </c>
      <c r="D7" s="26">
        <v>44890</v>
      </c>
      <c r="E7" s="11">
        <v>18</v>
      </c>
      <c r="F7" s="11">
        <v>10</v>
      </c>
      <c r="G7" s="11">
        <v>7</v>
      </c>
    </row>
    <row r="8" spans="1:7" ht="17.25" customHeight="1" x14ac:dyDescent="0.25">
      <c r="A8" s="11" t="s">
        <v>13</v>
      </c>
      <c r="B8" s="11" t="s">
        <v>58</v>
      </c>
      <c r="C8" s="11" t="s">
        <v>6</v>
      </c>
      <c r="D8" s="26">
        <v>44229</v>
      </c>
      <c r="E8" s="11">
        <v>18</v>
      </c>
      <c r="F8" s="11">
        <v>10</v>
      </c>
      <c r="G8" s="11">
        <v>7</v>
      </c>
    </row>
    <row r="9" spans="1:7" ht="17.25" customHeight="1" x14ac:dyDescent="0.25">
      <c r="A9" s="11" t="s">
        <v>14</v>
      </c>
      <c r="B9" s="11" t="s">
        <v>37</v>
      </c>
      <c r="C9" s="11" t="s">
        <v>15</v>
      </c>
      <c r="D9" s="26">
        <v>44026</v>
      </c>
      <c r="E9" s="11">
        <v>18</v>
      </c>
      <c r="F9" s="11">
        <v>10</v>
      </c>
      <c r="G9" s="11">
        <v>7</v>
      </c>
    </row>
    <row r="10" spans="1:7" ht="17.25" customHeight="1" x14ac:dyDescent="0.25">
      <c r="A10" s="11" t="s">
        <v>16</v>
      </c>
      <c r="B10" s="11" t="s">
        <v>59</v>
      </c>
      <c r="C10" s="11" t="s">
        <v>9</v>
      </c>
      <c r="D10" s="26">
        <v>43717</v>
      </c>
      <c r="E10" s="11">
        <v>18</v>
      </c>
      <c r="F10" s="11">
        <v>10</v>
      </c>
      <c r="G10" s="11">
        <v>7</v>
      </c>
    </row>
    <row r="11" spans="1:7" ht="17.25" customHeight="1" x14ac:dyDescent="0.25">
      <c r="A11" s="11" t="s">
        <v>17</v>
      </c>
      <c r="B11" s="11" t="s">
        <v>60</v>
      </c>
      <c r="C11" s="11" t="s">
        <v>11</v>
      </c>
      <c r="D11" s="26">
        <v>44947</v>
      </c>
      <c r="E11" s="11">
        <v>18</v>
      </c>
      <c r="F11" s="11">
        <v>10</v>
      </c>
      <c r="G11" s="11">
        <v>7</v>
      </c>
    </row>
    <row r="12" spans="1:7" ht="17.25" customHeight="1" x14ac:dyDescent="0.25">
      <c r="A12" s="11" t="s">
        <v>18</v>
      </c>
      <c r="B12" s="11" t="s">
        <v>61</v>
      </c>
      <c r="C12" s="11" t="s">
        <v>3</v>
      </c>
      <c r="D12" s="26">
        <v>44697</v>
      </c>
      <c r="E12" s="11">
        <v>18</v>
      </c>
      <c r="F12" s="11">
        <v>10</v>
      </c>
      <c r="G12" s="11">
        <v>7</v>
      </c>
    </row>
    <row r="13" spans="1:7" ht="17.25" customHeight="1" x14ac:dyDescent="0.25">
      <c r="A13" s="11" t="s">
        <v>19</v>
      </c>
      <c r="B13" s="11" t="s">
        <v>8</v>
      </c>
      <c r="C13" s="11" t="s">
        <v>6</v>
      </c>
      <c r="D13" s="26">
        <v>43901</v>
      </c>
      <c r="E13" s="11">
        <v>18</v>
      </c>
      <c r="F13" s="11">
        <v>10</v>
      </c>
      <c r="G13" s="11">
        <v>7</v>
      </c>
    </row>
    <row r="14" spans="1:7" ht="17.25" customHeight="1" x14ac:dyDescent="0.25">
      <c r="A14" s="11" t="s">
        <v>20</v>
      </c>
      <c r="B14" s="11" t="s">
        <v>62</v>
      </c>
      <c r="C14" s="11" t="s">
        <v>15</v>
      </c>
      <c r="D14" s="26">
        <v>44496</v>
      </c>
      <c r="E14" s="11">
        <v>18</v>
      </c>
      <c r="F14" s="11">
        <v>10</v>
      </c>
      <c r="G14" s="11">
        <v>7</v>
      </c>
    </row>
    <row r="15" spans="1:7" ht="17.25" customHeight="1" x14ac:dyDescent="0.25">
      <c r="A15" s="11" t="s">
        <v>21</v>
      </c>
      <c r="B15" s="11" t="s">
        <v>63</v>
      </c>
      <c r="C15" s="11" t="s">
        <v>11</v>
      </c>
      <c r="D15" s="26">
        <v>43559</v>
      </c>
      <c r="E15" s="11">
        <v>18</v>
      </c>
      <c r="F15" s="11">
        <v>10</v>
      </c>
      <c r="G15" s="11">
        <v>7</v>
      </c>
    </row>
    <row r="16" spans="1:7" ht="17.25" customHeight="1" x14ac:dyDescent="0.25">
      <c r="A16" s="11" t="s">
        <v>22</v>
      </c>
      <c r="B16" s="11" t="s">
        <v>43</v>
      </c>
      <c r="C16" s="11" t="s">
        <v>9</v>
      </c>
      <c r="D16" s="26">
        <v>44001</v>
      </c>
      <c r="E16" s="11">
        <v>18</v>
      </c>
      <c r="F16" s="11">
        <v>10</v>
      </c>
      <c r="G16" s="11">
        <v>7</v>
      </c>
    </row>
    <row r="17" spans="1:7" ht="17.25" customHeight="1" x14ac:dyDescent="0.25">
      <c r="A17" s="11" t="s">
        <v>23</v>
      </c>
      <c r="B17" s="11" t="s">
        <v>64</v>
      </c>
      <c r="C17" s="11" t="s">
        <v>3</v>
      </c>
      <c r="D17" s="26">
        <v>44903</v>
      </c>
      <c r="E17" s="11">
        <v>18</v>
      </c>
      <c r="F17" s="11">
        <v>10</v>
      </c>
      <c r="G17" s="11">
        <v>7</v>
      </c>
    </row>
    <row r="18" spans="1:7" ht="17.25" customHeight="1" x14ac:dyDescent="0.25">
      <c r="A18" s="11" t="s">
        <v>24</v>
      </c>
      <c r="B18" s="11" t="s">
        <v>65</v>
      </c>
      <c r="C18" s="11" t="s">
        <v>6</v>
      </c>
      <c r="D18" s="26">
        <v>44226</v>
      </c>
      <c r="E18" s="11">
        <v>18</v>
      </c>
      <c r="F18" s="11">
        <v>10</v>
      </c>
      <c r="G18" s="11">
        <v>7</v>
      </c>
    </row>
    <row r="19" spans="1:7" ht="17.25" customHeight="1" x14ac:dyDescent="0.25">
      <c r="A19" s="11" t="s">
        <v>25</v>
      </c>
      <c r="B19" s="11" t="s">
        <v>66</v>
      </c>
      <c r="C19" s="11" t="s">
        <v>15</v>
      </c>
      <c r="D19" s="26">
        <v>43692</v>
      </c>
      <c r="E19" s="11">
        <v>18</v>
      </c>
      <c r="F19" s="11">
        <v>10</v>
      </c>
      <c r="G19" s="11">
        <v>7</v>
      </c>
    </row>
    <row r="20" spans="1:7" ht="17.25" customHeight="1" x14ac:dyDescent="0.25">
      <c r="A20" s="11" t="s">
        <v>27</v>
      </c>
      <c r="B20" s="11" t="s">
        <v>67</v>
      </c>
      <c r="C20" s="11" t="s">
        <v>11</v>
      </c>
      <c r="D20" s="26">
        <v>44097</v>
      </c>
      <c r="E20" s="11">
        <v>18</v>
      </c>
      <c r="F20" s="11">
        <v>10</v>
      </c>
      <c r="G20" s="11">
        <v>7</v>
      </c>
    </row>
    <row r="21" spans="1:7" ht="17.25" customHeight="1" x14ac:dyDescent="0.25">
      <c r="A21" s="11" t="s">
        <v>28</v>
      </c>
      <c r="B21" s="11" t="s">
        <v>68</v>
      </c>
      <c r="C21" s="11" t="s">
        <v>3</v>
      </c>
      <c r="D21" s="26">
        <v>44964</v>
      </c>
      <c r="E21" s="11">
        <v>18</v>
      </c>
      <c r="F21" s="11">
        <v>10</v>
      </c>
      <c r="G21" s="11">
        <v>7</v>
      </c>
    </row>
    <row r="22" spans="1:7" ht="17.25" customHeight="1" x14ac:dyDescent="0.25">
      <c r="A22" s="11" t="s">
        <v>29</v>
      </c>
      <c r="B22" s="11" t="s">
        <v>69</v>
      </c>
      <c r="C22" s="11" t="s">
        <v>9</v>
      </c>
      <c r="D22" s="26">
        <v>44511</v>
      </c>
      <c r="E22" s="11">
        <v>18</v>
      </c>
      <c r="F22" s="11">
        <v>10</v>
      </c>
      <c r="G22" s="11">
        <v>7</v>
      </c>
    </row>
    <row r="23" spans="1:7" ht="17.25" customHeight="1" x14ac:dyDescent="0.25">
      <c r="A23" s="11" t="s">
        <v>30</v>
      </c>
      <c r="B23" s="11" t="s">
        <v>26</v>
      </c>
      <c r="C23" s="11" t="s">
        <v>6</v>
      </c>
      <c r="D23" s="26">
        <v>43225</v>
      </c>
      <c r="E23" s="11">
        <v>18</v>
      </c>
      <c r="F23" s="11">
        <v>10</v>
      </c>
      <c r="G23" s="11">
        <v>7</v>
      </c>
    </row>
    <row r="24" spans="1:7" ht="17.25" customHeight="1" x14ac:dyDescent="0.25">
      <c r="A24" s="11" t="s">
        <v>31</v>
      </c>
      <c r="B24" s="11" t="s">
        <v>70</v>
      </c>
      <c r="C24" s="11" t="s">
        <v>15</v>
      </c>
      <c r="D24" s="26">
        <v>44759</v>
      </c>
      <c r="E24" s="11">
        <v>18</v>
      </c>
      <c r="F24" s="11">
        <v>10</v>
      </c>
      <c r="G24" s="11">
        <v>7</v>
      </c>
    </row>
    <row r="25" spans="1:7" ht="17.25" customHeight="1" x14ac:dyDescent="0.25">
      <c r="A25" s="11" t="s">
        <v>32</v>
      </c>
      <c r="B25" s="11" t="s">
        <v>71</v>
      </c>
      <c r="C25" s="11" t="s">
        <v>11</v>
      </c>
      <c r="D25" s="26">
        <v>43919</v>
      </c>
      <c r="E25" s="11">
        <v>18</v>
      </c>
      <c r="F25" s="11">
        <v>10</v>
      </c>
      <c r="G25" s="11">
        <v>7</v>
      </c>
    </row>
    <row r="26" spans="1:7" ht="17.25" customHeight="1" x14ac:dyDescent="0.25">
      <c r="A26" s="11" t="s">
        <v>33</v>
      </c>
      <c r="B26" s="11" t="s">
        <v>72</v>
      </c>
      <c r="C26" s="11" t="s">
        <v>9</v>
      </c>
      <c r="D26" s="26">
        <v>43479</v>
      </c>
      <c r="E26" s="11">
        <v>18</v>
      </c>
      <c r="F26" s="11">
        <v>10</v>
      </c>
      <c r="G26" s="11">
        <v>7</v>
      </c>
    </row>
    <row r="27" spans="1:7" ht="17.25" customHeight="1" x14ac:dyDescent="0.25">
      <c r="A27" s="11" t="s">
        <v>34</v>
      </c>
      <c r="B27" s="11" t="s">
        <v>73</v>
      </c>
      <c r="C27" s="11" t="s">
        <v>3</v>
      </c>
      <c r="D27" s="26">
        <v>44367</v>
      </c>
      <c r="E27" s="11">
        <v>18</v>
      </c>
      <c r="F27" s="11">
        <v>10</v>
      </c>
      <c r="G27" s="11">
        <v>7</v>
      </c>
    </row>
    <row r="28" spans="1:7" ht="17.25" customHeight="1" x14ac:dyDescent="0.25">
      <c r="A28" s="11" t="s">
        <v>35</v>
      </c>
      <c r="B28" s="11" t="s">
        <v>74</v>
      </c>
      <c r="C28" s="11" t="s">
        <v>6</v>
      </c>
      <c r="D28" s="26">
        <v>44083</v>
      </c>
      <c r="E28" s="11">
        <v>18</v>
      </c>
      <c r="F28" s="11">
        <v>10</v>
      </c>
      <c r="G28" s="11">
        <v>7</v>
      </c>
    </row>
    <row r="29" spans="1:7" ht="17.25" customHeight="1" x14ac:dyDescent="0.25">
      <c r="A29" s="11" t="s">
        <v>36</v>
      </c>
      <c r="B29" s="11" t="s">
        <v>75</v>
      </c>
      <c r="C29" s="11" t="s">
        <v>15</v>
      </c>
      <c r="D29" s="26">
        <v>43802</v>
      </c>
      <c r="E29" s="11">
        <v>18</v>
      </c>
      <c r="F29" s="11">
        <v>10</v>
      </c>
      <c r="G29" s="11">
        <v>7</v>
      </c>
    </row>
    <row r="30" spans="1:7" ht="17.25" customHeight="1" x14ac:dyDescent="0.25">
      <c r="A30" s="11" t="s">
        <v>38</v>
      </c>
      <c r="B30" s="11" t="s">
        <v>76</v>
      </c>
      <c r="C30" s="11" t="s">
        <v>11</v>
      </c>
      <c r="D30" s="26">
        <v>44677</v>
      </c>
      <c r="E30" s="11">
        <v>18</v>
      </c>
      <c r="F30" s="11">
        <v>10</v>
      </c>
      <c r="G30" s="11">
        <v>7</v>
      </c>
    </row>
    <row r="31" spans="1:7" ht="17.25" customHeight="1" x14ac:dyDescent="0.25">
      <c r="A31" s="11" t="s">
        <v>39</v>
      </c>
      <c r="B31" s="11" t="s">
        <v>77</v>
      </c>
      <c r="C31" s="11" t="s">
        <v>3</v>
      </c>
      <c r="D31" s="26">
        <v>43325</v>
      </c>
      <c r="E31" s="11">
        <v>18</v>
      </c>
      <c r="F31" s="11">
        <v>10</v>
      </c>
      <c r="G31" s="11">
        <v>7</v>
      </c>
    </row>
    <row r="32" spans="1:7" ht="17.25" customHeight="1" x14ac:dyDescent="0.25">
      <c r="A32" s="11" t="s">
        <v>40</v>
      </c>
      <c r="B32" s="11" t="s">
        <v>78</v>
      </c>
      <c r="C32" s="11" t="s">
        <v>9</v>
      </c>
      <c r="D32" s="26">
        <v>44110</v>
      </c>
      <c r="E32" s="11">
        <v>18</v>
      </c>
      <c r="F32" s="11">
        <v>10</v>
      </c>
      <c r="G32" s="11">
        <v>7</v>
      </c>
    </row>
    <row r="33" spans="1:7" ht="17.25" customHeight="1" x14ac:dyDescent="0.25">
      <c r="A33" s="11" t="s">
        <v>41</v>
      </c>
      <c r="B33" s="11" t="s">
        <v>79</v>
      </c>
      <c r="C33" s="11" t="s">
        <v>6</v>
      </c>
      <c r="D33" s="26">
        <v>43515</v>
      </c>
      <c r="E33" s="11">
        <v>18</v>
      </c>
      <c r="F33" s="11">
        <v>10</v>
      </c>
      <c r="G33" s="11">
        <v>7</v>
      </c>
    </row>
    <row r="34" spans="1:7" ht="17.25" customHeight="1" x14ac:dyDescent="0.25">
      <c r="A34" s="11" t="s">
        <v>42</v>
      </c>
      <c r="B34" s="11" t="s">
        <v>80</v>
      </c>
      <c r="C34" s="11" t="s">
        <v>15</v>
      </c>
      <c r="D34" s="26">
        <v>44340</v>
      </c>
      <c r="E34" s="11">
        <v>18</v>
      </c>
      <c r="F34" s="11">
        <v>10</v>
      </c>
      <c r="G34" s="11">
        <v>7</v>
      </c>
    </row>
    <row r="35" spans="1:7" ht="17.25" customHeight="1" x14ac:dyDescent="0.25">
      <c r="A35" s="11" t="s">
        <v>44</v>
      </c>
      <c r="B35" s="11" t="s">
        <v>81</v>
      </c>
      <c r="C35" s="11" t="s">
        <v>11</v>
      </c>
      <c r="D35" s="26">
        <v>44752</v>
      </c>
      <c r="E35" s="11">
        <v>18</v>
      </c>
      <c r="F35" s="11">
        <v>10</v>
      </c>
      <c r="G35" s="11">
        <v>7</v>
      </c>
    </row>
    <row r="36" spans="1:7" ht="17.25" customHeight="1" x14ac:dyDescent="0.25">
      <c r="A36" s="11" t="s">
        <v>45</v>
      </c>
      <c r="B36" s="11" t="s">
        <v>82</v>
      </c>
      <c r="C36" s="11" t="s">
        <v>3</v>
      </c>
      <c r="D36" s="26">
        <v>43858</v>
      </c>
      <c r="E36" s="11">
        <v>18</v>
      </c>
      <c r="F36" s="11">
        <v>10</v>
      </c>
      <c r="G36" s="11">
        <v>7</v>
      </c>
    </row>
    <row r="37" spans="1:7" ht="17.25" customHeight="1" x14ac:dyDescent="0.25">
      <c r="A37" s="11" t="s">
        <v>46</v>
      </c>
      <c r="B37" s="11" t="s">
        <v>83</v>
      </c>
      <c r="C37" s="11" t="s">
        <v>6</v>
      </c>
      <c r="D37" s="26">
        <v>43163</v>
      </c>
      <c r="E37" s="11">
        <v>18</v>
      </c>
      <c r="F37" s="11">
        <v>10</v>
      </c>
      <c r="G37" s="11">
        <v>7</v>
      </c>
    </row>
    <row r="38" spans="1:7" ht="17.25" customHeight="1" x14ac:dyDescent="0.25">
      <c r="A38" s="11" t="s">
        <v>47</v>
      </c>
      <c r="B38" s="11" t="s">
        <v>84</v>
      </c>
      <c r="C38" s="11" t="s">
        <v>9</v>
      </c>
      <c r="D38" s="26">
        <v>44363</v>
      </c>
      <c r="E38" s="11">
        <v>18</v>
      </c>
      <c r="F38" s="11">
        <v>10</v>
      </c>
      <c r="G38" s="11">
        <v>7</v>
      </c>
    </row>
    <row r="39" spans="1:7" ht="17.25" customHeight="1" x14ac:dyDescent="0.25">
      <c r="A39" s="11" t="s">
        <v>48</v>
      </c>
      <c r="B39" s="11" t="s">
        <v>85</v>
      </c>
      <c r="C39" s="11" t="s">
        <v>11</v>
      </c>
      <c r="D39" s="26">
        <v>44826</v>
      </c>
      <c r="E39" s="11">
        <v>18</v>
      </c>
      <c r="F39" s="11">
        <v>10</v>
      </c>
      <c r="G39" s="11">
        <v>7</v>
      </c>
    </row>
    <row r="40" spans="1:7" ht="17.25" customHeight="1" x14ac:dyDescent="0.25">
      <c r="A40" s="11" t="s">
        <v>49</v>
      </c>
      <c r="B40" s="11" t="s">
        <v>86</v>
      </c>
      <c r="C40" s="11" t="s">
        <v>15</v>
      </c>
      <c r="D40" s="26">
        <v>44166</v>
      </c>
      <c r="E40" s="11">
        <v>18</v>
      </c>
      <c r="F40" s="11">
        <v>10</v>
      </c>
      <c r="G40" s="11">
        <v>7</v>
      </c>
    </row>
    <row r="41" spans="1:7" ht="17.25" customHeight="1" x14ac:dyDescent="0.25">
      <c r="A41" s="11" t="s">
        <v>50</v>
      </c>
      <c r="B41" s="11" t="s">
        <v>87</v>
      </c>
      <c r="C41" s="11" t="s">
        <v>3</v>
      </c>
      <c r="D41" s="26">
        <v>43573</v>
      </c>
      <c r="E41" s="11">
        <v>18</v>
      </c>
      <c r="F41" s="11">
        <v>10</v>
      </c>
      <c r="G41" s="11">
        <v>7</v>
      </c>
    </row>
    <row r="42" spans="1:7" ht="17.25" customHeight="1" x14ac:dyDescent="0.25">
      <c r="A42" s="1"/>
      <c r="B42" s="2"/>
      <c r="C42" s="1"/>
      <c r="D42" s="1"/>
      <c r="F42" s="1"/>
      <c r="G42" s="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9368-B94D-4973-924B-52B9249680A2}">
  <dimension ref="A1:J24"/>
  <sheetViews>
    <sheetView topLeftCell="B1" workbookViewId="0">
      <selection activeCell="C10" sqref="C10"/>
    </sheetView>
  </sheetViews>
  <sheetFormatPr defaultColWidth="22.42578125" defaultRowHeight="15" x14ac:dyDescent="0.25"/>
  <cols>
    <col min="1" max="6" width="22.42578125" style="3"/>
  </cols>
  <sheetData>
    <row r="1" spans="1:10" ht="24" customHeight="1" x14ac:dyDescent="0.25">
      <c r="A1" s="28" t="s">
        <v>108</v>
      </c>
      <c r="B1" s="28" t="s">
        <v>54</v>
      </c>
      <c r="C1" s="28" t="s">
        <v>109</v>
      </c>
      <c r="D1" s="28" t="s">
        <v>110</v>
      </c>
      <c r="E1" s="28" t="s">
        <v>111</v>
      </c>
      <c r="F1" s="28" t="s">
        <v>51</v>
      </c>
    </row>
    <row r="2" spans="1:10" x14ac:dyDescent="0.25">
      <c r="A2" s="6" t="s">
        <v>1</v>
      </c>
      <c r="B2" s="6" t="s">
        <v>88</v>
      </c>
      <c r="C2" s="7">
        <v>45658</v>
      </c>
      <c r="D2" s="7">
        <v>45666</v>
      </c>
      <c r="E2" s="6">
        <f>D2-C2+1</f>
        <v>9</v>
      </c>
      <c r="F2" s="4" t="s">
        <v>91</v>
      </c>
    </row>
    <row r="3" spans="1:10" x14ac:dyDescent="0.25">
      <c r="A3" s="6" t="s">
        <v>4</v>
      </c>
      <c r="B3" s="6" t="s">
        <v>89</v>
      </c>
      <c r="C3" s="7">
        <v>45667</v>
      </c>
      <c r="D3" s="7">
        <v>45671</v>
      </c>
      <c r="E3" s="6">
        <f t="shared" ref="E3:E24" si="0">D3-C3+1</f>
        <v>5</v>
      </c>
      <c r="F3" s="4" t="s">
        <v>52</v>
      </c>
    </row>
    <row r="4" spans="1:10" x14ac:dyDescent="0.25">
      <c r="A4" s="6" t="s">
        <v>7</v>
      </c>
      <c r="B4" s="6" t="s">
        <v>90</v>
      </c>
      <c r="C4" s="7">
        <v>45662</v>
      </c>
      <c r="D4" s="7">
        <v>45690</v>
      </c>
      <c r="E4" s="6">
        <f t="shared" si="0"/>
        <v>29</v>
      </c>
      <c r="F4" s="4" t="s">
        <v>97</v>
      </c>
    </row>
    <row r="5" spans="1:10" x14ac:dyDescent="0.25">
      <c r="A5" s="6" t="s">
        <v>10</v>
      </c>
      <c r="B5" s="6" t="s">
        <v>88</v>
      </c>
      <c r="C5" s="7">
        <v>45675</v>
      </c>
      <c r="D5" s="7">
        <v>45676</v>
      </c>
      <c r="E5" s="6">
        <f t="shared" si="0"/>
        <v>2</v>
      </c>
      <c r="F5" s="4" t="s">
        <v>52</v>
      </c>
    </row>
    <row r="6" spans="1:10" x14ac:dyDescent="0.25">
      <c r="A6" s="6" t="s">
        <v>12</v>
      </c>
      <c r="B6" s="6" t="s">
        <v>89</v>
      </c>
      <c r="C6" s="7">
        <v>45679</v>
      </c>
      <c r="D6" s="7">
        <v>45693</v>
      </c>
      <c r="E6" s="6">
        <f t="shared" si="0"/>
        <v>15</v>
      </c>
      <c r="F6" s="4" t="s">
        <v>52</v>
      </c>
    </row>
    <row r="7" spans="1:10" x14ac:dyDescent="0.25">
      <c r="A7" s="6" t="s">
        <v>13</v>
      </c>
      <c r="B7" s="6" t="s">
        <v>90</v>
      </c>
      <c r="C7" s="7">
        <v>45690</v>
      </c>
      <c r="D7" s="7">
        <v>45690</v>
      </c>
      <c r="E7" s="6">
        <f t="shared" si="0"/>
        <v>1</v>
      </c>
      <c r="F7" s="4" t="s">
        <v>52</v>
      </c>
    </row>
    <row r="8" spans="1:10" x14ac:dyDescent="0.25">
      <c r="A8" s="6" t="s">
        <v>14</v>
      </c>
      <c r="B8" s="6" t="s">
        <v>88</v>
      </c>
      <c r="C8" s="7">
        <v>45698</v>
      </c>
      <c r="D8" s="7">
        <v>45699</v>
      </c>
      <c r="E8" s="6">
        <f t="shared" si="0"/>
        <v>2</v>
      </c>
      <c r="F8" s="4" t="s">
        <v>91</v>
      </c>
    </row>
    <row r="9" spans="1:10" x14ac:dyDescent="0.25">
      <c r="A9" s="6" t="s">
        <v>16</v>
      </c>
      <c r="B9" s="6" t="s">
        <v>89</v>
      </c>
      <c r="C9" s="7">
        <v>45706</v>
      </c>
      <c r="D9" s="7">
        <v>45710</v>
      </c>
      <c r="E9" s="6">
        <f t="shared" si="0"/>
        <v>5</v>
      </c>
      <c r="F9" s="4" t="s">
        <v>52</v>
      </c>
    </row>
    <row r="10" spans="1:10" x14ac:dyDescent="0.25">
      <c r="A10" s="6" t="s">
        <v>17</v>
      </c>
      <c r="B10" s="6" t="s">
        <v>90</v>
      </c>
      <c r="C10" s="7">
        <v>45717</v>
      </c>
      <c r="D10" s="7">
        <v>45717</v>
      </c>
      <c r="E10" s="6">
        <f t="shared" si="0"/>
        <v>1</v>
      </c>
      <c r="F10" s="4" t="s">
        <v>52</v>
      </c>
      <c r="J10" s="3"/>
    </row>
    <row r="11" spans="1:10" x14ac:dyDescent="0.25">
      <c r="A11" s="6" t="s">
        <v>18</v>
      </c>
      <c r="B11" s="6" t="s">
        <v>88</v>
      </c>
      <c r="C11" s="7">
        <v>45724</v>
      </c>
      <c r="D11" s="7">
        <v>45725</v>
      </c>
      <c r="E11" s="6">
        <f t="shared" si="0"/>
        <v>2</v>
      </c>
      <c r="F11" s="4" t="s">
        <v>97</v>
      </c>
    </row>
    <row r="12" spans="1:10" x14ac:dyDescent="0.25">
      <c r="A12" s="6" t="s">
        <v>19</v>
      </c>
      <c r="B12" s="6" t="s">
        <v>89</v>
      </c>
      <c r="C12" s="7">
        <v>45731</v>
      </c>
      <c r="D12" s="7">
        <v>45735</v>
      </c>
      <c r="E12" s="6">
        <f t="shared" si="0"/>
        <v>5</v>
      </c>
      <c r="F12" s="4" t="s">
        <v>52</v>
      </c>
    </row>
    <row r="13" spans="1:10" x14ac:dyDescent="0.25">
      <c r="A13" s="6" t="s">
        <v>20</v>
      </c>
      <c r="B13" s="6" t="s">
        <v>90</v>
      </c>
      <c r="C13" s="7">
        <v>45741</v>
      </c>
      <c r="D13" s="7">
        <v>45749</v>
      </c>
      <c r="E13" s="6">
        <f t="shared" si="0"/>
        <v>9</v>
      </c>
      <c r="F13" s="4" t="s">
        <v>97</v>
      </c>
    </row>
    <row r="14" spans="1:10" x14ac:dyDescent="0.25">
      <c r="A14" s="6" t="s">
        <v>21</v>
      </c>
      <c r="B14" s="6" t="s">
        <v>88</v>
      </c>
      <c r="C14" s="7">
        <v>45749</v>
      </c>
      <c r="D14" s="7">
        <v>45760</v>
      </c>
      <c r="E14" s="6">
        <f t="shared" si="0"/>
        <v>12</v>
      </c>
      <c r="F14" s="4" t="s">
        <v>52</v>
      </c>
    </row>
    <row r="15" spans="1:10" x14ac:dyDescent="0.25">
      <c r="A15" s="6" t="s">
        <v>22</v>
      </c>
      <c r="B15" s="6" t="s">
        <v>89</v>
      </c>
      <c r="C15" s="7">
        <v>45757</v>
      </c>
      <c r="D15" s="7">
        <v>45779</v>
      </c>
      <c r="E15" s="6">
        <f t="shared" si="0"/>
        <v>23</v>
      </c>
      <c r="F15" s="4" t="s">
        <v>91</v>
      </c>
    </row>
    <row r="16" spans="1:10" x14ac:dyDescent="0.25">
      <c r="A16" s="6" t="s">
        <v>23</v>
      </c>
      <c r="B16" s="6" t="s">
        <v>90</v>
      </c>
      <c r="C16" s="7">
        <v>45765</v>
      </c>
      <c r="D16" s="7">
        <v>45765</v>
      </c>
      <c r="E16" s="6">
        <f t="shared" si="0"/>
        <v>1</v>
      </c>
      <c r="F16" s="4" t="s">
        <v>52</v>
      </c>
    </row>
    <row r="17" spans="1:6" x14ac:dyDescent="0.25">
      <c r="A17" s="6" t="s">
        <v>24</v>
      </c>
      <c r="B17" s="6" t="s">
        <v>88</v>
      </c>
      <c r="C17" s="7">
        <v>45772</v>
      </c>
      <c r="D17" s="7">
        <v>45773</v>
      </c>
      <c r="E17" s="6">
        <f t="shared" si="0"/>
        <v>2</v>
      </c>
      <c r="F17" s="4" t="s">
        <v>97</v>
      </c>
    </row>
    <row r="18" spans="1:6" x14ac:dyDescent="0.25">
      <c r="A18" s="6" t="s">
        <v>25</v>
      </c>
      <c r="B18" s="6" t="s">
        <v>89</v>
      </c>
      <c r="C18" s="7">
        <v>45779</v>
      </c>
      <c r="D18" s="7">
        <v>45783</v>
      </c>
      <c r="E18" s="6">
        <f t="shared" si="0"/>
        <v>5</v>
      </c>
      <c r="F18" s="4" t="s">
        <v>91</v>
      </c>
    </row>
    <row r="19" spans="1:6" x14ac:dyDescent="0.25">
      <c r="A19" s="8" t="s">
        <v>44</v>
      </c>
      <c r="B19" s="8" t="s">
        <v>90</v>
      </c>
      <c r="C19" s="7">
        <v>45780</v>
      </c>
      <c r="D19" s="7">
        <v>45812</v>
      </c>
      <c r="E19" s="6">
        <f t="shared" si="0"/>
        <v>33</v>
      </c>
      <c r="F19" s="5" t="s">
        <v>52</v>
      </c>
    </row>
    <row r="20" spans="1:6" x14ac:dyDescent="0.25">
      <c r="A20" s="8" t="s">
        <v>46</v>
      </c>
      <c r="B20" s="8" t="s">
        <v>88</v>
      </c>
      <c r="C20" s="7">
        <v>45780</v>
      </c>
      <c r="D20" s="7">
        <v>45786</v>
      </c>
      <c r="E20" s="6">
        <f t="shared" si="0"/>
        <v>7</v>
      </c>
      <c r="F20" s="5" t="s">
        <v>91</v>
      </c>
    </row>
    <row r="21" spans="1:6" x14ac:dyDescent="0.25">
      <c r="A21" s="8" t="s">
        <v>48</v>
      </c>
      <c r="B21" s="8" t="s">
        <v>89</v>
      </c>
      <c r="C21" s="7">
        <v>45780</v>
      </c>
      <c r="D21" s="7">
        <v>45781</v>
      </c>
      <c r="E21" s="6">
        <f t="shared" si="0"/>
        <v>2</v>
      </c>
      <c r="F21" s="5" t="s">
        <v>52</v>
      </c>
    </row>
    <row r="22" spans="1:6" x14ac:dyDescent="0.25">
      <c r="A22" s="10" t="s">
        <v>45</v>
      </c>
      <c r="B22" s="8" t="s">
        <v>88</v>
      </c>
      <c r="C22" s="7">
        <v>45780</v>
      </c>
      <c r="D22" s="7">
        <v>45795</v>
      </c>
      <c r="E22" s="6">
        <f t="shared" si="0"/>
        <v>16</v>
      </c>
      <c r="F22" s="5" t="s">
        <v>97</v>
      </c>
    </row>
    <row r="23" spans="1:6" x14ac:dyDescent="0.25">
      <c r="A23" s="10" t="s">
        <v>40</v>
      </c>
      <c r="B23" s="8" t="s">
        <v>89</v>
      </c>
      <c r="C23" s="7">
        <v>45779</v>
      </c>
      <c r="D23" s="7">
        <v>45786</v>
      </c>
      <c r="E23" s="6">
        <f t="shared" si="0"/>
        <v>8</v>
      </c>
      <c r="F23" s="5" t="s">
        <v>91</v>
      </c>
    </row>
    <row r="24" spans="1:6" x14ac:dyDescent="0.25">
      <c r="A24" s="9" t="s">
        <v>29</v>
      </c>
      <c r="B24" s="8" t="s">
        <v>88</v>
      </c>
      <c r="C24" s="7">
        <v>45779</v>
      </c>
      <c r="D24" s="7">
        <v>45786</v>
      </c>
      <c r="E24" s="6">
        <f>D24-C24+1</f>
        <v>8</v>
      </c>
      <c r="F24" s="5" t="s">
        <v>52</v>
      </c>
    </row>
  </sheetData>
  <phoneticPr fontId="3" type="noConversion"/>
  <conditionalFormatting sqref="F1:F1048576">
    <cfRule type="containsText" dxfId="16" priority="1" operator="containsText" text="pending">
      <formula>NOT(ISERROR(SEARCH("pending",F1)))</formula>
    </cfRule>
    <cfRule type="containsText" dxfId="15" priority="7" operator="containsText" text="rejected">
      <formula>NOT(ISERROR(SEARCH("rejected",F1)))</formula>
    </cfRule>
    <cfRule type="containsText" dxfId="14" priority="10" operator="containsText" text="Approved">
      <formula>NOT(ISERROR(SEARCH("Approved",F1)))</formula>
    </cfRule>
  </conditionalFormatting>
  <conditionalFormatting sqref="B1:B1048576">
    <cfRule type="containsText" dxfId="13" priority="4" operator="containsText" text="ANNUAL">
      <formula>NOT(ISERROR(SEARCH("ANNUAL",B1)))</formula>
    </cfRule>
    <cfRule type="containsText" dxfId="12" priority="5" operator="containsText" text="CASUAL">
      <formula>NOT(ISERROR(SEARCH("CASUAL",B1)))</formula>
    </cfRule>
    <cfRule type="containsText" dxfId="11" priority="6" operator="containsText" text="SICK">
      <formula>NOT(ISERROR(SEARCH("SICK",B1)))</formula>
    </cfRule>
  </conditionalFormatting>
  <conditionalFormatting sqref="F1">
    <cfRule type="containsText" dxfId="10" priority="9" operator="containsText" text="pending">
      <formula>NOT(ISERROR(SEARCH("pending",F1)))</formula>
    </cfRule>
  </conditionalFormatting>
  <dataValidations count="2">
    <dataValidation type="list" allowBlank="1" showInputMessage="1" showErrorMessage="1" sqref="B1:B1048576" xr:uid="{AD432547-11B2-4441-9F40-3B436C1B158D}">
      <formula1>"Annual,Sick,Casual"</formula1>
    </dataValidation>
    <dataValidation type="list" allowBlank="1" showInputMessage="1" showErrorMessage="1" sqref="F1:F1048576" xr:uid="{6F7866E7-9CF8-4541-813F-D166A0BA6A6B}">
      <formula1>"Approved,Pending,Rejected"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F57DE-8FF6-400D-BF03-CF703F46DCFF}">
          <x14:formula1>
            <xm:f>'EMPLOYEE MASTER'!$A:$A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0289-CE7B-44C1-AF1A-D8C40104C9B1}">
  <dimension ref="A1:F28"/>
  <sheetViews>
    <sheetView topLeftCell="A4" workbookViewId="0">
      <selection activeCell="G3" sqref="G3"/>
    </sheetView>
  </sheetViews>
  <sheetFormatPr defaultColWidth="23.140625" defaultRowHeight="16.5" customHeight="1" x14ac:dyDescent="0.25"/>
  <cols>
    <col min="2" max="2" width="23.140625" style="15"/>
    <col min="4" max="4" width="18.5703125" bestFit="1" customWidth="1"/>
    <col min="5" max="5" width="26.42578125" style="15" bestFit="1" customWidth="1"/>
    <col min="6" max="6" width="23.140625" style="15"/>
  </cols>
  <sheetData>
    <row r="1" spans="1:6" ht="27" customHeight="1" x14ac:dyDescent="0.25">
      <c r="A1" s="29" t="s">
        <v>53</v>
      </c>
      <c r="B1" s="29" t="s">
        <v>54</v>
      </c>
      <c r="C1" s="29" t="s">
        <v>101</v>
      </c>
      <c r="D1" s="29" t="s">
        <v>100</v>
      </c>
      <c r="E1" s="30" t="s">
        <v>99</v>
      </c>
      <c r="F1" s="30" t="s">
        <v>98</v>
      </c>
    </row>
    <row r="2" spans="1:6" ht="16.5" customHeight="1" x14ac:dyDescent="0.25">
      <c r="A2" s="11" t="s">
        <v>1</v>
      </c>
      <c r="B2" s="16" t="str">
        <f>_xlfn.IFNA(VLOOKUP(Table1[[#This Row],[Employee_ID]],'leave appication'!$A$1:$B$30,2,FALSE),"NOT IN LIST")</f>
        <v>Sick</v>
      </c>
      <c r="C2" s="12">
        <f>IF(B2="Annual",VLOOKUP(A2,'EMPLOYEE MASTER'!A:G,5,FALSE),IF(B2="Casual",VLOOKUP(A2,'EMPLOYEE MASTER'!A:G,7,FALSE),IF(B2="Sick",VLOOKUP(A2,'EMPLOYEE MASTER'!A:G,6,FALSE),"")))</f>
        <v>10</v>
      </c>
      <c r="D2" s="12" cm="1">
        <f t="array" ref="D2">SUMPRODUCT(('leave appication'!$A$2:$A$100=$A2)*('leave appication'!$B$2:$B$100=$B2)*('leave appication'!$F$2:$F$100="Approved")*('leave appication'!$E$2:$E$100))</f>
        <v>0</v>
      </c>
      <c r="E2" s="14">
        <f>MAX(0,Leave_Balance!C2-Leave_Balance!D2)</f>
        <v>10</v>
      </c>
      <c r="F2" s="14" t="str">
        <f>IFERROR(VLOOKUP(A2,'EMPLOYEE MASTER'!A2:C41,2,FALSE),"")</f>
        <v>Rahul Nair</v>
      </c>
    </row>
    <row r="3" spans="1:6" ht="16.5" customHeight="1" x14ac:dyDescent="0.25">
      <c r="A3" s="11" t="s">
        <v>14</v>
      </c>
      <c r="B3" s="16" t="str">
        <f>_xlfn.IFNA(VLOOKUP(Table1[[#This Row],[Employee_ID]],'leave appication'!$A$1:$B$30,2,FALSE),"NOT IN LIST")</f>
        <v>Sick</v>
      </c>
      <c r="C3" s="12">
        <f>IF(B3="Annual",VLOOKUP(A3,'EMPLOYEE MASTER'!A:G,5,FALSE),IF(B3="Casual",VLOOKUP(A3,'EMPLOYEE MASTER'!A:G,7,FALSE),IF(B3="Sick",VLOOKUP(A3,'EMPLOYEE MASTER'!A:G,6,FALSE),"")))</f>
        <v>10</v>
      </c>
      <c r="D3" s="12" cm="1">
        <f t="array" ref="D3">SUMPRODUCT(('leave appication'!$A$2:$A$100=$A3)*('leave appication'!$B$2:$B$100=$B3)*('leave appication'!$F$2:$F$100="Approved")*('leave appication'!$E$2:$E$100))</f>
        <v>0</v>
      </c>
      <c r="E3" s="14">
        <f>MAX(0,Leave_Balance!C3-Leave_Balance!D3)</f>
        <v>10</v>
      </c>
      <c r="F3" s="14" t="str">
        <f>IFERROR(VLOOKUP(A3,'EMPLOYEE MASTER'!A3:C42,2,FALSE),"")</f>
        <v>Rohit Verma</v>
      </c>
    </row>
    <row r="4" spans="1:6" ht="16.5" customHeight="1" x14ac:dyDescent="0.25">
      <c r="A4" s="11" t="s">
        <v>12</v>
      </c>
      <c r="B4" s="16" t="str">
        <f>_xlfn.IFNA(VLOOKUP(Table1[[#This Row],[Employee_ID]],'leave appication'!$A$1:$B$30,2,FALSE),"NOT IN LIST")</f>
        <v>Annual</v>
      </c>
      <c r="C4" s="12">
        <f>IF(B4="Annual",VLOOKUP(A4,'EMPLOYEE MASTER'!A:G,5,FALSE),IF(B4="Casual",VLOOKUP(A4,'EMPLOYEE MASTER'!A:G,7,FALSE),IF(B4="Sick",VLOOKUP(A4,'EMPLOYEE MASTER'!A:G,6,FALSE),"")))</f>
        <v>18</v>
      </c>
      <c r="D4" s="12" cm="1">
        <f t="array" ref="D4">SUMPRODUCT(('leave appication'!$A$2:$A$100=$A4)*('leave appication'!$B$2:$B$100=$B4)*('leave appication'!$F$2:$F$100="Approved")*('leave appication'!$E$2:$E$100))</f>
        <v>15</v>
      </c>
      <c r="E4" s="14">
        <f>MAX(0,Leave_Balance!C4-Leave_Balance!D4)</f>
        <v>3</v>
      </c>
      <c r="F4" s="14" t="str">
        <f>IFERROR(VLOOKUP(A4,'EMPLOYEE MASTER'!A4:C43,2,FALSE),"")</f>
        <v>Vishnu Das</v>
      </c>
    </row>
    <row r="5" spans="1:6" ht="16.5" customHeight="1" x14ac:dyDescent="0.25">
      <c r="A5" s="11" t="s">
        <v>17</v>
      </c>
      <c r="B5" s="16" t="str">
        <f>_xlfn.IFNA(VLOOKUP(Table1[[#This Row],[Employee_ID]],'leave appication'!$A$1:$B$30,2,FALSE),"NOT IN LIST")</f>
        <v>Casual</v>
      </c>
      <c r="C5" s="12">
        <f>IF(B5="Annual",VLOOKUP(A5,'EMPLOYEE MASTER'!A:G,5,FALSE),IF(B5="Casual",VLOOKUP(A5,'EMPLOYEE MASTER'!A:G,7,FALSE),IF(B5="Sick",VLOOKUP(A5,'EMPLOYEE MASTER'!A:G,6,FALSE),"")))</f>
        <v>7</v>
      </c>
      <c r="D5" s="12" cm="1">
        <f t="array" ref="D5">SUMPRODUCT(('leave appication'!$A$2:$A$100=$A5)*('leave appication'!$B$2:$B$100=$B5)*('leave appication'!$F$2:$F$100="Approved")*('leave appication'!$E$2:$E$100))</f>
        <v>1</v>
      </c>
      <c r="E5" s="14">
        <f>MAX(0,Leave_Balance!C5-Leave_Balance!D5)</f>
        <v>6</v>
      </c>
      <c r="F5" s="14" t="str">
        <f>IFERROR(VLOOKUP(A5,'EMPLOYEE MASTER'!A5:C44,2,FALSE),"")</f>
        <v>Akash Singh</v>
      </c>
    </row>
    <row r="6" spans="1:6" ht="16.5" customHeight="1" x14ac:dyDescent="0.25">
      <c r="A6" s="11" t="s">
        <v>18</v>
      </c>
      <c r="B6" s="16" t="str">
        <f>_xlfn.IFNA(VLOOKUP(Table1[[#This Row],[Employee_ID]],'leave appication'!$A$1:$B$30,2,FALSE),"NOT IN LIST")</f>
        <v>Sick</v>
      </c>
      <c r="C6" s="12">
        <f>IF(B6="Annual",VLOOKUP(A6,'EMPLOYEE MASTER'!A:G,5,FALSE),IF(B6="Casual",VLOOKUP(A6,'EMPLOYEE MASTER'!A:G,7,FALSE),IF(B6="Sick",VLOOKUP(A6,'EMPLOYEE MASTER'!A:G,6,FALSE),"")))</f>
        <v>10</v>
      </c>
      <c r="D6" s="12" cm="1">
        <f t="array" ref="D6">SUMPRODUCT(('leave appication'!$A$2:$A$100=$A6)*('leave appication'!$B$2:$B$100=$B6)*('leave appication'!$F$2:$F$100="Approved")*('leave appication'!$E$2:$E$100))</f>
        <v>0</v>
      </c>
      <c r="E6" s="14">
        <f>MAX(0,Leave_Balance!C6-Leave_Balance!D6)</f>
        <v>10</v>
      </c>
      <c r="F6" s="14" t="str">
        <f>IFERROR(VLOOKUP(A6,'EMPLOYEE MASTER'!A6:C45,2,FALSE),"")</f>
        <v>Kavya Nair</v>
      </c>
    </row>
    <row r="7" spans="1:6" ht="16.5" customHeight="1" x14ac:dyDescent="0.25">
      <c r="A7" s="11" t="s">
        <v>19</v>
      </c>
      <c r="B7" s="16" t="str">
        <f>_xlfn.IFNA(VLOOKUP(Table1[[#This Row],[Employee_ID]],'leave appication'!$A$1:$B$30,2,FALSE),"NOT IN LIST")</f>
        <v>Annual</v>
      </c>
      <c r="C7" s="12">
        <f>IF(B7="Annual",VLOOKUP(A7,'EMPLOYEE MASTER'!A:G,5,FALSE),IF(B7="Casual",VLOOKUP(A7,'EMPLOYEE MASTER'!A:G,7,FALSE),IF(B7="Sick",VLOOKUP(A7,'EMPLOYEE MASTER'!A:G,6,FALSE),"")))</f>
        <v>18</v>
      </c>
      <c r="D7" s="12" cm="1">
        <f t="array" ref="D7">SUMPRODUCT(('leave appication'!$A$2:$A$100=$A7)*('leave appication'!$B$2:$B$100=$B7)*('leave appication'!$F$2:$F$100="Approved")*('leave appication'!$E$2:$E$100))</f>
        <v>5</v>
      </c>
      <c r="E7" s="14">
        <f>MAX(0,Leave_Balance!C7-Leave_Balance!D7)</f>
        <v>13</v>
      </c>
      <c r="F7" s="14" t="str">
        <f>IFERROR(VLOOKUP(A7,'EMPLOYEE MASTER'!A7:C46,2,FALSE),"")</f>
        <v>Suresh Kumar</v>
      </c>
    </row>
    <row r="8" spans="1:6" ht="16.5" customHeight="1" x14ac:dyDescent="0.25">
      <c r="A8" s="11" t="s">
        <v>20</v>
      </c>
      <c r="B8" s="16" t="str">
        <f>_xlfn.IFNA(VLOOKUP(Table1[[#This Row],[Employee_ID]],'leave appication'!$A$1:$B$30,2,FALSE),"NOT IN LIST")</f>
        <v>Casual</v>
      </c>
      <c r="C8" s="12">
        <f>IF(B8="Annual",VLOOKUP(A8,'EMPLOYEE MASTER'!A:G,5,FALSE),IF(B8="Casual",VLOOKUP(A8,'EMPLOYEE MASTER'!A:G,7,FALSE),IF(B8="Sick",VLOOKUP(A8,'EMPLOYEE MASTER'!A:G,6,FALSE),"")))</f>
        <v>7</v>
      </c>
      <c r="D8" s="12" cm="1">
        <f t="array" ref="D8">SUMPRODUCT(('leave appication'!$A$2:$A$100=$A8)*('leave appication'!$B$2:$B$100=$B8)*('leave appication'!$F$2:$F$100="Approved")*('leave appication'!$E$2:$E$100))</f>
        <v>0</v>
      </c>
      <c r="E8" s="14">
        <f>MAX(0,Leave_Balance!C8-Leave_Balance!D8)</f>
        <v>7</v>
      </c>
      <c r="F8" s="14" t="str">
        <f>IFERROR(VLOOKUP(A8,'EMPLOYEE MASTER'!A8:C47,2,FALSE),"")</f>
        <v>Aditi Rao</v>
      </c>
    </row>
    <row r="9" spans="1:6" ht="16.5" customHeight="1" x14ac:dyDescent="0.25">
      <c r="A9" s="11" t="s">
        <v>21</v>
      </c>
      <c r="B9" s="16" t="str">
        <f>_xlfn.IFNA(VLOOKUP(Table1[[#This Row],[Employee_ID]],'leave appication'!$A$1:$B$30,2,FALSE),"NOT IN LIST")</f>
        <v>Sick</v>
      </c>
      <c r="C9" s="12">
        <f>IF(B9="Annual",VLOOKUP(A9,'EMPLOYEE MASTER'!A:G,5,FALSE),IF(B9="Casual",VLOOKUP(A9,'EMPLOYEE MASTER'!A:G,7,FALSE),IF(B9="Sick",VLOOKUP(A9,'EMPLOYEE MASTER'!A:G,6,FALSE),"")))</f>
        <v>10</v>
      </c>
      <c r="D9" s="12" cm="1">
        <f t="array" ref="D9">SUMPRODUCT(('leave appication'!$A$2:$A$100=$A9)*('leave appication'!$B$2:$B$100=$B9)*('leave appication'!$F$2:$F$100="Approved")*('leave appication'!$E$2:$E$100))</f>
        <v>12</v>
      </c>
      <c r="E9" s="14">
        <f>MAX(0,Leave_Balance!C9-Leave_Balance!D9)</f>
        <v>0</v>
      </c>
      <c r="F9" s="14" t="str">
        <f>IFERROR(VLOOKUP(A9,'EMPLOYEE MASTER'!A9:C48,2,FALSE),"")</f>
        <v>Manish Gupta</v>
      </c>
    </row>
    <row r="10" spans="1:6" ht="16.5" customHeight="1" x14ac:dyDescent="0.25">
      <c r="A10" s="11" t="s">
        <v>22</v>
      </c>
      <c r="B10" s="16" t="str">
        <f>_xlfn.IFNA(VLOOKUP(Table1[[#This Row],[Employee_ID]],'leave appication'!$A$1:$B$30,2,FALSE),"NOT IN LIST")</f>
        <v>Annual</v>
      </c>
      <c r="C10" s="12">
        <f>IF(B10="Annual",VLOOKUP(A10,'EMPLOYEE MASTER'!A:G,5,FALSE),IF(B10="Casual",VLOOKUP(A10,'EMPLOYEE MASTER'!A:G,7,FALSE),IF(B10="Sick",VLOOKUP(A10,'EMPLOYEE MASTER'!A:G,6,FALSE),"")))</f>
        <v>18</v>
      </c>
      <c r="D10" s="12" cm="1">
        <f t="array" ref="D10">SUMPRODUCT(('leave appication'!$A$2:$A$100=$A10)*('leave appication'!$B$2:$B$100=$B10)*('leave appication'!$F$2:$F$100="Approved")*('leave appication'!$E$2:$E$100))</f>
        <v>0</v>
      </c>
      <c r="E10" s="14">
        <f>MAX(0,Leave_Balance!C10-Leave_Balance!D10)</f>
        <v>18</v>
      </c>
      <c r="F10" s="14" t="str">
        <f>IFERROR(VLOOKUP(A10,'EMPLOYEE MASTER'!A10:C49,2,FALSE),"")</f>
        <v>Deepa Menon</v>
      </c>
    </row>
    <row r="11" spans="1:6" ht="16.5" customHeight="1" x14ac:dyDescent="0.25">
      <c r="A11" s="11" t="s">
        <v>20</v>
      </c>
      <c r="B11" s="16" t="str">
        <f>_xlfn.IFNA(VLOOKUP(Table1[[#This Row],[Employee_ID]],'leave appication'!$A$1:$B$30,2,FALSE),"NOT IN LIST")</f>
        <v>Casual</v>
      </c>
      <c r="C11" s="12">
        <f>IF(B11="Annual",VLOOKUP(A11,'EMPLOYEE MASTER'!A:G,5,FALSE),IF(B11="Casual",VLOOKUP(A11,'EMPLOYEE MASTER'!A:G,7,FALSE),IF(B11="Sick",VLOOKUP(A11,'EMPLOYEE MASTER'!A:G,6,FALSE),"")))</f>
        <v>7</v>
      </c>
      <c r="D11" s="12" cm="1">
        <f t="array" ref="D11">SUMPRODUCT(('leave appication'!$A$2:$A$100=$A11)*('leave appication'!$B$2:$B$100=$B11)*('leave appication'!$F$2:$F$100="Approved")*('leave appication'!$E$2:$E$100))</f>
        <v>0</v>
      </c>
      <c r="E11" s="14">
        <f>MAX(0,Leave_Balance!C11-Leave_Balance!D11)</f>
        <v>7</v>
      </c>
      <c r="F11" s="14" t="str">
        <f>IFERROR(VLOOKUP(A11,'EMPLOYEE MASTER'!A11:C50,2,FALSE),"")</f>
        <v>Aditi Rao</v>
      </c>
    </row>
    <row r="12" spans="1:6" ht="16.5" customHeight="1" x14ac:dyDescent="0.25">
      <c r="A12" s="11" t="s">
        <v>24</v>
      </c>
      <c r="B12" s="16" t="str">
        <f>_xlfn.IFNA(VLOOKUP(Table1[[#This Row],[Employee_ID]],'leave appication'!$A$1:$B$30,2,FALSE),"NOT IN LIST")</f>
        <v>Sick</v>
      </c>
      <c r="C12" s="12">
        <f>IF(B12="Annual",VLOOKUP(A12,'EMPLOYEE MASTER'!A:G,5,FALSE),IF(B12="Casual",VLOOKUP(A12,'EMPLOYEE MASTER'!A:G,7,FALSE),IF(B12="Sick",VLOOKUP(A12,'EMPLOYEE MASTER'!A:G,6,FALSE),"")))</f>
        <v>10</v>
      </c>
      <c r="D12" s="12" cm="1">
        <f t="array" ref="D12">SUMPRODUCT(('leave appication'!$A$2:$A$100=$A12)*('leave appication'!$B$2:$B$100=$B12)*('leave appication'!$F$2:$F$100="Approved")*('leave appication'!$E$2:$E$100))</f>
        <v>0</v>
      </c>
      <c r="E12" s="14">
        <f>MAX(0,Leave_Balance!C12-Leave_Balance!D12)</f>
        <v>10</v>
      </c>
      <c r="F12" s="14" t="str">
        <f>IFERROR(VLOOKUP(A12,'EMPLOYEE MASTER'!A12:C51,2,FALSE),"")</f>
        <v>Ritu Malhotra</v>
      </c>
    </row>
    <row r="13" spans="1:6" ht="16.5" customHeight="1" x14ac:dyDescent="0.25">
      <c r="A13" s="11" t="s">
        <v>25</v>
      </c>
      <c r="B13" s="16" t="str">
        <f>_xlfn.IFNA(VLOOKUP(Table1[[#This Row],[Employee_ID]],'leave appication'!$A$1:$B$30,2,FALSE),"NOT IN LIST")</f>
        <v>Annual</v>
      </c>
      <c r="C13" s="12">
        <f>IF(B13="Annual",VLOOKUP(A13,'EMPLOYEE MASTER'!A:G,5,FALSE),IF(B13="Casual",VLOOKUP(A13,'EMPLOYEE MASTER'!A:G,7,FALSE),IF(B13="Sick",VLOOKUP(A13,'EMPLOYEE MASTER'!A:G,6,FALSE),"")))</f>
        <v>18</v>
      </c>
      <c r="D13" s="12" cm="1">
        <f t="array" ref="D13">SUMPRODUCT(('leave appication'!$A$2:$A$100=$A13)*('leave appication'!$B$2:$B$100=$B13)*('leave appication'!$F$2:$F$100="Approved")*('leave appication'!$E$2:$E$100))</f>
        <v>0</v>
      </c>
      <c r="E13" s="14">
        <f>MAX(0,Leave_Balance!C13-Leave_Balance!D13)</f>
        <v>18</v>
      </c>
      <c r="F13" s="14" t="str">
        <f>IFERROR(VLOOKUP(A13,'EMPLOYEE MASTER'!A13:C52,2,FALSE),"")</f>
        <v>Sanjay Rao</v>
      </c>
    </row>
    <row r="14" spans="1:6" ht="16.5" customHeight="1" x14ac:dyDescent="0.25">
      <c r="A14" s="11" t="s">
        <v>45</v>
      </c>
      <c r="B14" s="16" t="str">
        <f>_xlfn.IFNA(VLOOKUP(Table1[[#This Row],[Employee_ID]],'leave appication'!$A$1:$B$30,2,FALSE),"NOT IN LIST")</f>
        <v>Sick</v>
      </c>
      <c r="C14" s="12">
        <f>IF(B14="Annual",VLOOKUP(A14,'EMPLOYEE MASTER'!A:G,5,FALSE),IF(B14="Casual",VLOOKUP(A14,'EMPLOYEE MASTER'!A:G,7,FALSE),IF(B14="Sick",VLOOKUP(A14,'EMPLOYEE MASTER'!A:G,6,FALSE),"")))</f>
        <v>10</v>
      </c>
      <c r="D14" s="12" cm="1">
        <f t="array" ref="D14">SUMPRODUCT(('leave appication'!$A$2:$A$100=$A14)*('leave appication'!$B$2:$B$100=$B14)*('leave appication'!$F$2:$F$100="Approved")*('leave appication'!$E$2:$E$100))</f>
        <v>0</v>
      </c>
      <c r="E14" s="14">
        <f>MAX(0,Leave_Balance!C14-Leave_Balance!D14)</f>
        <v>10</v>
      </c>
      <c r="F14" s="14" t="str">
        <f>IFERROR(VLOOKUP(A14,'EMPLOYEE MASTER'!A14:C53,2,FALSE),"")</f>
        <v>Reshma Thomas</v>
      </c>
    </row>
    <row r="15" spans="1:6" ht="16.5" customHeight="1" x14ac:dyDescent="0.25">
      <c r="A15" s="17" t="s">
        <v>4</v>
      </c>
      <c r="B15" s="16" t="str">
        <f>_xlfn.IFNA(VLOOKUP(Table1[[#This Row],[Employee_ID]],'leave appication'!$A$1:$B$30,2,FALSE),"NOT IN LIST")</f>
        <v>Annual</v>
      </c>
      <c r="C15" s="18">
        <f>IF(B15="Annual",VLOOKUP(A15,'EMPLOYEE MASTER'!A:G,5,FALSE),IF(B15="Casual",VLOOKUP(A15,'EMPLOYEE MASTER'!A:G,7,FALSE),IF(B15="Sick",VLOOKUP(A15,'EMPLOYEE MASTER'!A:G,6,FALSE),"")))</f>
        <v>18</v>
      </c>
      <c r="D15" s="13" cm="1">
        <f t="array" ref="D15">SUMPRODUCT(('leave appication'!$A$2:$A$100=$A15)*('leave appication'!$B$2:$B$100=$B15)*('leave appication'!$F$2:$F$100="Approved")*('leave appication'!$E$2:$E$100))</f>
        <v>5</v>
      </c>
      <c r="E15" s="19">
        <f>MAX(0,Leave_Balance!C15-Leave_Balance!D15)</f>
        <v>13</v>
      </c>
      <c r="F15" s="14" t="str">
        <f>IFERROR(VLOOKUP(A15,'EMPLOYEE MASTER'!A15:C54,2,FALSE),"")</f>
        <v/>
      </c>
    </row>
    <row r="16" spans="1:6" ht="16.5" customHeight="1" x14ac:dyDescent="0.25">
      <c r="A16" s="17" t="s">
        <v>7</v>
      </c>
      <c r="B16" s="16" t="str">
        <f>_xlfn.IFNA(VLOOKUP(Table1[[#This Row],[Employee_ID]],'leave appication'!$A$1:$B$30,2,FALSE),"NOT IN LIST")</f>
        <v>Casual</v>
      </c>
      <c r="C16" s="18">
        <f>IF(B16="Annual",VLOOKUP(A16,'EMPLOYEE MASTER'!A:G,5,FALSE),IF(B16="Casual",VLOOKUP(A16,'EMPLOYEE MASTER'!A:G,7,FALSE),IF(B16="Sick",VLOOKUP(A16,'EMPLOYEE MASTER'!A:G,6,FALSE),"")))</f>
        <v>7</v>
      </c>
      <c r="D16" s="13" cm="1">
        <f t="array" ref="D16">SUMPRODUCT(('leave appication'!$A$2:$A$100=$A16)*('leave appication'!$B$2:$B$100=$B16)*('leave appication'!$F$2:$F$100="Approved")*('leave appication'!$E$2:$E$100))</f>
        <v>0</v>
      </c>
      <c r="E16" s="19">
        <f>MAX(0,Leave_Balance!C16-Leave_Balance!D16)</f>
        <v>7</v>
      </c>
      <c r="F16" s="14" t="str">
        <f>IFERROR(VLOOKUP(A16,'EMPLOYEE MASTER'!A16:C55,2,FALSE),"")</f>
        <v/>
      </c>
    </row>
    <row r="17" spans="1:6" ht="16.5" customHeight="1" x14ac:dyDescent="0.25">
      <c r="A17" s="17" t="s">
        <v>14</v>
      </c>
      <c r="B17" s="16" t="str">
        <f>_xlfn.IFNA(VLOOKUP(Table1[[#This Row],[Employee_ID]],'leave appication'!$A$1:$B$30,2,FALSE),"NOT IN LIST")</f>
        <v>Sick</v>
      </c>
      <c r="C17" s="18">
        <f>IF(B17="Annual",VLOOKUP(A17,'EMPLOYEE MASTER'!A:G,5,FALSE),IF(B17="Casual",VLOOKUP(A17,'EMPLOYEE MASTER'!A:G,7,FALSE),IF(B17="Sick",VLOOKUP(A17,'EMPLOYEE MASTER'!A:G,6,FALSE),"")))</f>
        <v>10</v>
      </c>
      <c r="D17" s="13" cm="1">
        <f t="array" ref="D17">SUMPRODUCT(('leave appication'!$A$2:$A$100=$A17)*('leave appication'!$B$2:$B$100=$B17)*('leave appication'!$F$2:$F$100="Approved")*('leave appication'!$E$2:$E$100))</f>
        <v>0</v>
      </c>
      <c r="E17" s="19">
        <f>MAX(0,Leave_Balance!C17-Leave_Balance!D17)</f>
        <v>10</v>
      </c>
      <c r="F17" s="14" t="str">
        <f>IFERROR(VLOOKUP(A17,'EMPLOYEE MASTER'!A17:C56,2,FALSE),"")</f>
        <v/>
      </c>
    </row>
    <row r="18" spans="1:6" ht="16.5" customHeight="1" x14ac:dyDescent="0.25">
      <c r="C18" t="str">
        <f>IF(B18="Annual",VLOOKUP(A18,'EMPLOYEE MASTER'!A:G,5,FALSE),IF(B18="Casual",VLOOKUP(A18,'EMPLOYEE MASTER'!A:G,7,FALSE),IF(B18="Sick",VLOOKUP(A18,'EMPLOYEE MASTER'!A:G,6,FALSE),"")))</f>
        <v/>
      </c>
      <c r="F18" s="15" t="str">
        <f>IFERROR(VLOOKUP(A18,'EMPLOYEE MASTER'!A30:C69,2,FALSE),"")</f>
        <v/>
      </c>
    </row>
    <row r="19" spans="1:6" ht="16.5" customHeight="1" x14ac:dyDescent="0.25">
      <c r="C19" t="str">
        <f>IF(B19="Annual",VLOOKUP(A19,'EMPLOYEE MASTER'!A:G,5,FALSE),IF(B19="Casual",VLOOKUP(A19,'EMPLOYEE MASTER'!A:G,7,FALSE),IF(B19="Sick",VLOOKUP(A19,'EMPLOYEE MASTER'!A:G,6,FALSE),"")))</f>
        <v/>
      </c>
      <c r="F19" s="15" t="str">
        <f>IFERROR(VLOOKUP(A19,'EMPLOYEE MASTER'!A31:C70,2,FALSE),"")</f>
        <v/>
      </c>
    </row>
    <row r="20" spans="1:6" ht="16.5" customHeight="1" x14ac:dyDescent="0.25">
      <c r="C20" t="str">
        <f>IF(B20="Annual",VLOOKUP(A20,'EMPLOYEE MASTER'!A:G,5,FALSE),IF(B20="Casual",VLOOKUP(A20,'EMPLOYEE MASTER'!A:G,7,FALSE),IF(B20="Sick",VLOOKUP(A20,'EMPLOYEE MASTER'!A:G,6,FALSE),"")))</f>
        <v/>
      </c>
      <c r="F20" s="15" t="str">
        <f>IFERROR(VLOOKUP(A20,'EMPLOYEE MASTER'!A32:C71,2,FALSE),"")</f>
        <v/>
      </c>
    </row>
    <row r="21" spans="1:6" ht="16.5" customHeight="1" x14ac:dyDescent="0.25">
      <c r="C21" t="str">
        <f>IF(B21="Annual",VLOOKUP(A21,'EMPLOYEE MASTER'!A:G,5,FALSE),IF(B21="Casual",VLOOKUP(A21,'EMPLOYEE MASTER'!A:G,7,FALSE),IF(B21="Sick",VLOOKUP(A21,'EMPLOYEE MASTER'!A:G,6,FALSE),"")))</f>
        <v/>
      </c>
      <c r="F21" s="15" t="str">
        <f>IFERROR(VLOOKUP(A21,'EMPLOYEE MASTER'!A33:C72,2,FALSE),"")</f>
        <v/>
      </c>
    </row>
    <row r="22" spans="1:6" ht="16.5" customHeight="1" x14ac:dyDescent="0.25">
      <c r="C22" t="str">
        <f>IF(B22="Annual",VLOOKUP(A22,'EMPLOYEE MASTER'!A:G,5,FALSE),IF(B22="Casual",VLOOKUP(A22,'EMPLOYEE MASTER'!A:G,7,FALSE),IF(B22="Sick",VLOOKUP(A22,'EMPLOYEE MASTER'!A:G,6,FALSE),"")))</f>
        <v/>
      </c>
      <c r="F22" s="15" t="str">
        <f>IFERROR(VLOOKUP(A22,'EMPLOYEE MASTER'!A34:C73,2,FALSE),"")</f>
        <v/>
      </c>
    </row>
    <row r="23" spans="1:6" ht="16.5" customHeight="1" x14ac:dyDescent="0.25">
      <c r="C23" t="str">
        <f>IF(B23="Annual",VLOOKUP(A23,'EMPLOYEE MASTER'!A:G,5,FALSE),IF(B23="Casual",VLOOKUP(A23,'EMPLOYEE MASTER'!A:G,7,FALSE),IF(B23="Sick",VLOOKUP(A23,'EMPLOYEE MASTER'!A:G,6,FALSE),"")))</f>
        <v/>
      </c>
      <c r="F23" s="15" t="str">
        <f>IFERROR(VLOOKUP(A23,'EMPLOYEE MASTER'!A35:C74,2,FALSE),"")</f>
        <v/>
      </c>
    </row>
    <row r="24" spans="1:6" ht="16.5" customHeight="1" x14ac:dyDescent="0.25">
      <c r="C24" t="str">
        <f>IF(B24="Annual",VLOOKUP(A24,'EMPLOYEE MASTER'!A:G,5,FALSE),IF(B24="Casual",VLOOKUP(A24,'EMPLOYEE MASTER'!A:G,7,FALSE),IF(B24="Sick",VLOOKUP(A24,'EMPLOYEE MASTER'!A:G,6,FALSE),"")))</f>
        <v/>
      </c>
      <c r="F24" s="15" t="str">
        <f>IFERROR(VLOOKUP(A24,'EMPLOYEE MASTER'!A36:C75,2,FALSE),"")</f>
        <v/>
      </c>
    </row>
    <row r="25" spans="1:6" ht="16.5" customHeight="1" x14ac:dyDescent="0.25">
      <c r="C25" t="str">
        <f>IF(B25="Annual",VLOOKUP(A25,'EMPLOYEE MASTER'!A:G,5,FALSE),IF(B25="Casual",VLOOKUP(A25,'EMPLOYEE MASTER'!A:G,7,FALSE),IF(B25="Sick",VLOOKUP(A25,'EMPLOYEE MASTER'!A:G,6,FALSE),"")))</f>
        <v/>
      </c>
      <c r="F25" s="15" t="str">
        <f>IFERROR(VLOOKUP(A25,'EMPLOYEE MASTER'!A37:C76,2,FALSE),"")</f>
        <v/>
      </c>
    </row>
    <row r="26" spans="1:6" ht="16.5" customHeight="1" x14ac:dyDescent="0.25">
      <c r="C26" t="str">
        <f>IF(B26="Annual",VLOOKUP(A26,'EMPLOYEE MASTER'!A:G,5,FALSE),IF(B26="Casual",VLOOKUP(A26,'EMPLOYEE MASTER'!A:G,7,FALSE),IF(B26="Sick",VLOOKUP(A26,'EMPLOYEE MASTER'!A:G,6,FALSE),"")))</f>
        <v/>
      </c>
      <c r="F26" s="15" t="str">
        <f>IFERROR(VLOOKUP(A26,'EMPLOYEE MASTER'!A38:C77,2,FALSE),"")</f>
        <v/>
      </c>
    </row>
    <row r="27" spans="1:6" ht="16.5" customHeight="1" x14ac:dyDescent="0.25">
      <c r="C27" t="str">
        <f>IF(B27="Annual",VLOOKUP(A27,'EMPLOYEE MASTER'!A:G,5,FALSE),IF(B27="Casual",VLOOKUP(A27,'EMPLOYEE MASTER'!A:G,7,FALSE),IF(B27="Sick",VLOOKUP(A27,'EMPLOYEE MASTER'!A:G,6,FALSE),"")))</f>
        <v/>
      </c>
      <c r="F27" s="15" t="str">
        <f>IFERROR(VLOOKUP(A27,'EMPLOYEE MASTER'!A39:C78,2,FALSE),"")</f>
        <v/>
      </c>
    </row>
    <row r="28" spans="1:6" ht="16.5" customHeight="1" x14ac:dyDescent="0.25">
      <c r="C28" t="str">
        <f>IF(B28="Annual",VLOOKUP(A28,'EMPLOYEE MASTER'!A:G,5,FALSE),IF(B28="Casual",VLOOKUP(A28,'EMPLOYEE MASTER'!A:G,7,FALSE),IF(B28="Sick",VLOOKUP(A28,'EMPLOYEE MASTER'!A:G,6,FALSE),"")))</f>
        <v/>
      </c>
      <c r="F28" s="15" t="str">
        <f>IFERROR(VLOOKUP(A28,'EMPLOYEE MASTER'!A40:C79,2,FALSE),"")</f>
        <v/>
      </c>
    </row>
  </sheetData>
  <phoneticPr fontId="3" type="noConversion"/>
  <conditionalFormatting sqref="E1:E17">
    <cfRule type="cellIs" dxfId="9" priority="1" operator="lessThanOrEqual">
      <formula>6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3AA949-0082-478B-920E-B092DC7763D7}">
          <x14:formula1>
            <xm:f>'EMPLOYEE MASTER'!$A$3:$A$41</xm:f>
          </x14:formula1>
          <xm:sqref>A1:A1048576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E6CD-C0A2-4ABF-9A7C-3589ECAEB2F0}">
  <dimension ref="A1:G40"/>
  <sheetViews>
    <sheetView tabSelected="1" workbookViewId="0">
      <selection activeCell="I15" sqref="I15"/>
    </sheetView>
  </sheetViews>
  <sheetFormatPr defaultRowHeight="15" x14ac:dyDescent="0.25"/>
  <cols>
    <col min="1" max="1" width="13.140625" bestFit="1" customWidth="1"/>
    <col min="2" max="2" width="22.140625" bestFit="1" customWidth="1"/>
    <col min="3" max="3" width="16.28515625" bestFit="1" customWidth="1"/>
    <col min="4" max="4" width="24.85546875" bestFit="1" customWidth="1"/>
    <col min="5" max="5" width="24.7109375" bestFit="1" customWidth="1"/>
    <col min="6" max="6" width="21.7109375" bestFit="1" customWidth="1"/>
    <col min="7" max="7" width="22.7109375" bestFit="1" customWidth="1"/>
    <col min="8" max="8" width="11.28515625" bestFit="1" customWidth="1"/>
    <col min="9" max="14" width="16.28515625" bestFit="1" customWidth="1"/>
    <col min="15" max="15" width="11.28515625" bestFit="1" customWidth="1"/>
  </cols>
  <sheetData>
    <row r="1" spans="1:7" ht="21.75" customHeight="1" x14ac:dyDescent="0.25">
      <c r="A1" s="20" t="s">
        <v>53</v>
      </c>
      <c r="B1" s="20" t="s">
        <v>92</v>
      </c>
      <c r="C1" s="20" t="s">
        <v>0</v>
      </c>
      <c r="D1" s="20" t="s">
        <v>93</v>
      </c>
      <c r="E1" s="20" t="s">
        <v>94</v>
      </c>
      <c r="F1" s="20" t="s">
        <v>95</v>
      </c>
      <c r="G1" s="20" t="s">
        <v>96</v>
      </c>
    </row>
    <row r="2" spans="1:7" ht="15.75" x14ac:dyDescent="0.25">
      <c r="A2" s="21" t="s">
        <v>1</v>
      </c>
      <c r="B2" s="23" t="str">
        <f>IFERROR(VLOOKUP(A2,'EMPLOYEE MASTER'!A:D,2,FALSE),"")</f>
        <v>Rahul Nair</v>
      </c>
      <c r="C2" s="23" t="str">
        <f>IFERROR(VLOOKUP('leave summary'!A2,'EMPLOYEE MASTER'!$A$2:$C$41,3,0),"")</f>
        <v>Logistics</v>
      </c>
      <c r="D2" s="22">
        <f>SUMIFS(Leave_Balance!E:E,Leave_Balance!A:A,A2,Leave_Balance!B:B,"Annual")</f>
        <v>0</v>
      </c>
      <c r="E2" s="22">
        <f>SUMIFS(Leave_Balance!E:E,Leave_Balance!A:A,A2,Leave_Balance!B:B,"Casual")</f>
        <v>0</v>
      </c>
      <c r="F2" s="22">
        <f>SUMIFS(Leave_Balance!E:E,Leave_Balance!A:A,A2,Leave_Balance!B:B,"Sick")</f>
        <v>10</v>
      </c>
      <c r="G2" s="24">
        <f>D2+E2+F2</f>
        <v>10</v>
      </c>
    </row>
    <row r="3" spans="1:7" ht="15.75" x14ac:dyDescent="0.25">
      <c r="A3" s="21" t="s">
        <v>4</v>
      </c>
      <c r="B3" s="23" t="str">
        <f>IFERROR(VLOOKUP(A3,'EMPLOYEE MASTER'!A:D,2,FALSE),"")</f>
        <v>Anjali Menon</v>
      </c>
      <c r="C3" s="23" t="str">
        <f>IFERROR(VLOOKUP('leave summary'!A3,'EMPLOYEE MASTER'!$A$2:$C$41,3,0),"")</f>
        <v>Accounts</v>
      </c>
      <c r="D3" s="22">
        <f>SUMIFS(Leave_Balance!E:E,Leave_Balance!A:A,A3,Leave_Balance!B:B,"Annual")</f>
        <v>13</v>
      </c>
      <c r="E3" s="22">
        <f>SUMIFS(Leave_Balance!E:E,Leave_Balance!A:A,A3,Leave_Balance!B:B,"Casual")</f>
        <v>0</v>
      </c>
      <c r="F3" s="22">
        <f>SUMIFS(Leave_Balance!E:E,Leave_Balance!A:A,A3,Leave_Balance!B:B,"Sick")</f>
        <v>0</v>
      </c>
      <c r="G3" s="24">
        <f t="shared" ref="G3:G15" si="0">D3+E3+F3</f>
        <v>13</v>
      </c>
    </row>
    <row r="4" spans="1:7" ht="15.75" x14ac:dyDescent="0.25">
      <c r="A4" s="21" t="s">
        <v>7</v>
      </c>
      <c r="B4" s="23" t="str">
        <f>IFERROR(VLOOKUP(A4,'EMPLOYEE MASTER'!A:D,2,FALSE),"")</f>
        <v>Arjun Kumar</v>
      </c>
      <c r="C4" s="23" t="str">
        <f>IFERROR(VLOOKUP('leave summary'!A4,'EMPLOYEE MASTER'!$A$2:$C$41,3,0),"")</f>
        <v>Operations</v>
      </c>
      <c r="D4" s="22">
        <f>SUMIFS(Leave_Balance!E:E,Leave_Balance!A:A,A4,Leave_Balance!B:B,"Annual")</f>
        <v>0</v>
      </c>
      <c r="E4" s="22">
        <f>SUMIFS(Leave_Balance!E:E,Leave_Balance!A:A,A4,Leave_Balance!B:B,"Casual")</f>
        <v>7</v>
      </c>
      <c r="F4" s="22">
        <f>SUMIFS(Leave_Balance!E:E,Leave_Balance!A:A,A4,Leave_Balance!B:B,"Sick")</f>
        <v>0</v>
      </c>
      <c r="G4" s="24">
        <f t="shared" si="0"/>
        <v>7</v>
      </c>
    </row>
    <row r="5" spans="1:7" ht="15.75" x14ac:dyDescent="0.25">
      <c r="A5" s="21" t="s">
        <v>10</v>
      </c>
      <c r="B5" s="23" t="str">
        <f>IFERROR(VLOOKUP(A5,'EMPLOYEE MASTER'!A:D,2,FALSE),"")</f>
        <v>Sneha Pillai</v>
      </c>
      <c r="C5" s="23" t="str">
        <f>IFERROR(VLOOKUP('leave summary'!A5,'EMPLOYEE MASTER'!$A$2:$C$41,3,0),"")</f>
        <v>HR</v>
      </c>
      <c r="D5" s="22">
        <f>SUMIFS(Leave_Balance!E:E,Leave_Balance!A:A,A5,Leave_Balance!B:B,"Annual")</f>
        <v>0</v>
      </c>
      <c r="E5" s="22">
        <f>SUMIFS(Leave_Balance!E:E,Leave_Balance!A:A,A5,Leave_Balance!B:B,"Casual")</f>
        <v>0</v>
      </c>
      <c r="F5" s="22">
        <f>SUMIFS(Leave_Balance!E:E,Leave_Balance!A:A,A5,Leave_Balance!B:B,"Sick")</f>
        <v>0</v>
      </c>
      <c r="G5" s="24">
        <f t="shared" si="0"/>
        <v>0</v>
      </c>
    </row>
    <row r="6" spans="1:7" ht="15.75" x14ac:dyDescent="0.25">
      <c r="A6" s="21" t="s">
        <v>12</v>
      </c>
      <c r="B6" s="23" t="str">
        <f>IFERROR(VLOOKUP(A6,'EMPLOYEE MASTER'!A:D,2,FALSE),"")</f>
        <v>Vishnu Das</v>
      </c>
      <c r="C6" s="23" t="str">
        <f>IFERROR(VLOOKUP('leave summary'!A6,'EMPLOYEE MASTER'!$A$2:$C$41,3,0),"")</f>
        <v>Logistics</v>
      </c>
      <c r="D6" s="22">
        <f>SUMIFS(Leave_Balance!E:E,Leave_Balance!A:A,A6,Leave_Balance!B:B,"Annual")</f>
        <v>3</v>
      </c>
      <c r="E6" s="22">
        <f>SUMIFS(Leave_Balance!E:E,Leave_Balance!A:A,A6,Leave_Balance!B:B,"Casual")</f>
        <v>0</v>
      </c>
      <c r="F6" s="22">
        <f>SUMIFS(Leave_Balance!E:E,Leave_Balance!A:A,A6,Leave_Balance!B:B,"Sick")</f>
        <v>0</v>
      </c>
      <c r="G6" s="24">
        <f t="shared" si="0"/>
        <v>3</v>
      </c>
    </row>
    <row r="7" spans="1:7" ht="15.75" x14ac:dyDescent="0.25">
      <c r="A7" s="21" t="s">
        <v>13</v>
      </c>
      <c r="B7" s="23" t="str">
        <f>IFERROR(VLOOKUP(A7,'EMPLOYEE MASTER'!A:D,2,FALSE),"")</f>
        <v>Neha Sharma</v>
      </c>
      <c r="C7" s="23" t="str">
        <f>IFERROR(VLOOKUP('leave summary'!A7,'EMPLOYEE MASTER'!$A$2:$C$41,3,0),"")</f>
        <v>Accounts</v>
      </c>
      <c r="D7" s="22">
        <f>SUMIFS(Leave_Balance!E:E,Leave_Balance!A:A,A7,Leave_Balance!B:B,"Annual")</f>
        <v>0</v>
      </c>
      <c r="E7" s="22">
        <f>SUMIFS(Leave_Balance!E:E,Leave_Balance!A:A,A7,Leave_Balance!B:B,"Casual")</f>
        <v>0</v>
      </c>
      <c r="F7" s="22">
        <f>SUMIFS(Leave_Balance!E:E,Leave_Balance!A:A,A7,Leave_Balance!B:B,"Sick")</f>
        <v>0</v>
      </c>
      <c r="G7" s="24">
        <f t="shared" si="0"/>
        <v>0</v>
      </c>
    </row>
    <row r="8" spans="1:7" ht="15.75" x14ac:dyDescent="0.25">
      <c r="A8" s="21" t="s">
        <v>14</v>
      </c>
      <c r="B8" s="23" t="str">
        <f>IFERROR(VLOOKUP(A8,'EMPLOYEE MASTER'!A:D,2,FALSE),"")</f>
        <v>Rohit Verma</v>
      </c>
      <c r="C8" s="23" t="str">
        <f>IFERROR(VLOOKUP('leave summary'!A8,'EMPLOYEE MASTER'!$A$2:$C$41,3,0),"")</f>
        <v>Sales</v>
      </c>
      <c r="D8" s="22">
        <f>SUMIFS(Leave_Balance!E:E,Leave_Balance!A:A,A8,Leave_Balance!B:B,"Annual")</f>
        <v>0</v>
      </c>
      <c r="E8" s="22">
        <f>SUMIFS(Leave_Balance!E:E,Leave_Balance!A:A,A8,Leave_Balance!B:B,"Casual")</f>
        <v>0</v>
      </c>
      <c r="F8" s="22">
        <f>SUMIFS(Leave_Balance!E:E,Leave_Balance!A:A,A8,Leave_Balance!B:B,"Sick")</f>
        <v>20</v>
      </c>
      <c r="G8" s="24">
        <f t="shared" si="0"/>
        <v>20</v>
      </c>
    </row>
    <row r="9" spans="1:7" ht="15.75" x14ac:dyDescent="0.25">
      <c r="A9" s="21" t="s">
        <v>16</v>
      </c>
      <c r="B9" s="23" t="str">
        <f>IFERROR(VLOOKUP(A9,'EMPLOYEE MASTER'!A:D,2,FALSE),"")</f>
        <v>Priya Iyer</v>
      </c>
      <c r="C9" s="23" t="str">
        <f>IFERROR(VLOOKUP('leave summary'!A9,'EMPLOYEE MASTER'!$A$2:$C$41,3,0),"")</f>
        <v>HR</v>
      </c>
      <c r="D9" s="22">
        <f>SUMIFS(Leave_Balance!E:E,Leave_Balance!A:A,A9,Leave_Balance!B:B,"Annual")</f>
        <v>0</v>
      </c>
      <c r="E9" s="22">
        <f>SUMIFS(Leave_Balance!E:E,Leave_Balance!A:A,A9,Leave_Balance!B:B,"Casual")</f>
        <v>0</v>
      </c>
      <c r="F9" s="22">
        <f>SUMIFS(Leave_Balance!E:E,Leave_Balance!A:A,A9,Leave_Balance!B:B,"Sick")</f>
        <v>0</v>
      </c>
      <c r="G9" s="24">
        <f t="shared" si="0"/>
        <v>0</v>
      </c>
    </row>
    <row r="10" spans="1:7" ht="15.75" x14ac:dyDescent="0.25">
      <c r="A10" s="21" t="s">
        <v>17</v>
      </c>
      <c r="B10" s="23" t="str">
        <f>IFERROR(VLOOKUP(A10,'EMPLOYEE MASTER'!A:D,2,FALSE),"")</f>
        <v>Akash Singh</v>
      </c>
      <c r="C10" s="23" t="str">
        <f>IFERROR(VLOOKUP('leave summary'!A10,'EMPLOYEE MASTER'!$A$2:$C$41,3,0),"")</f>
        <v>Operations</v>
      </c>
      <c r="D10" s="22">
        <f>SUMIFS(Leave_Balance!E:E,Leave_Balance!A:A,A10,Leave_Balance!B:B,"Annual")</f>
        <v>0</v>
      </c>
      <c r="E10" s="22">
        <f>SUMIFS(Leave_Balance!E:E,Leave_Balance!A:A,A10,Leave_Balance!B:B,"Casual")</f>
        <v>6</v>
      </c>
      <c r="F10" s="22">
        <f>SUMIFS(Leave_Balance!E:E,Leave_Balance!A:A,A10,Leave_Balance!B:B,"Sick")</f>
        <v>0</v>
      </c>
      <c r="G10" s="24">
        <f t="shared" si="0"/>
        <v>6</v>
      </c>
    </row>
    <row r="11" spans="1:7" ht="15.75" x14ac:dyDescent="0.25">
      <c r="A11" s="22" t="s">
        <v>47</v>
      </c>
      <c r="B11" s="23" t="str">
        <f>IFERROR(VLOOKUP(A11,'EMPLOYEE MASTER'!A:D,2,FALSE),"")</f>
        <v>Snehal Patil</v>
      </c>
      <c r="C11" s="23" t="str">
        <f>IFERROR(VLOOKUP('leave summary'!A11,'EMPLOYEE MASTER'!$A$2:$C$41,3,0),"")</f>
        <v>HR</v>
      </c>
      <c r="D11" s="22">
        <f>SUMIFS(Leave_Balance!E:E,Leave_Balance!A:A,A11,Leave_Balance!B:B,"Annual")</f>
        <v>0</v>
      </c>
      <c r="E11" s="22">
        <f>SUMIFS(Leave_Balance!E:E,Leave_Balance!A:A,A11,Leave_Balance!B:B,"Casual")</f>
        <v>0</v>
      </c>
      <c r="F11" s="22">
        <f>SUMIFS(Leave_Balance!E:E,Leave_Balance!A:A,A11,Leave_Balance!B:B,"Sick")</f>
        <v>0</v>
      </c>
      <c r="G11" s="24">
        <f t="shared" si="0"/>
        <v>0</v>
      </c>
    </row>
    <row r="12" spans="1:7" ht="15.75" x14ac:dyDescent="0.25">
      <c r="A12" s="22" t="s">
        <v>48</v>
      </c>
      <c r="B12" s="23" t="str">
        <f>IFERROR(VLOOKUP(A12,'EMPLOYEE MASTER'!A:D,2,FALSE),"")</f>
        <v>Karthik R</v>
      </c>
      <c r="C12" s="23" t="str">
        <f>IFERROR(VLOOKUP('leave summary'!A12,'EMPLOYEE MASTER'!$A$2:$C$41,3,0),"")</f>
        <v>Operations</v>
      </c>
      <c r="D12" s="22">
        <f>SUMIFS(Leave_Balance!E:E,Leave_Balance!A:A,A12,Leave_Balance!B:B,"Annual")</f>
        <v>0</v>
      </c>
      <c r="E12" s="22">
        <f>SUMIFS(Leave_Balance!E:E,Leave_Balance!A:A,A12,Leave_Balance!B:B,"Casual")</f>
        <v>0</v>
      </c>
      <c r="F12" s="22">
        <f>SUMIFS(Leave_Balance!E:E,Leave_Balance!A:A,A12,Leave_Balance!B:B,"Sick")</f>
        <v>0</v>
      </c>
      <c r="G12" s="24">
        <f t="shared" si="0"/>
        <v>0</v>
      </c>
    </row>
    <row r="13" spans="1:7" ht="15.75" x14ac:dyDescent="0.25">
      <c r="A13" s="22" t="s">
        <v>40</v>
      </c>
      <c r="B13" s="23" t="str">
        <f>IFERROR(VLOOKUP(A13,'EMPLOYEE MASTER'!A:D,2,FALSE),"")</f>
        <v>Anusha Pillai</v>
      </c>
      <c r="C13" s="23" t="str">
        <f>IFERROR(VLOOKUP('leave summary'!A13,'EMPLOYEE MASTER'!$A$2:$C$41,3,0),"")</f>
        <v>HR</v>
      </c>
      <c r="D13" s="22">
        <f>SUMIFS(Leave_Balance!E:E,Leave_Balance!A:A,A13,Leave_Balance!B:B,"Annual")</f>
        <v>0</v>
      </c>
      <c r="E13" s="22">
        <f>SUMIFS(Leave_Balance!E:E,Leave_Balance!A:A,A13,Leave_Balance!B:B,"Casual")</f>
        <v>0</v>
      </c>
      <c r="F13" s="22">
        <f>SUMIFS(Leave_Balance!E:E,Leave_Balance!A:A,A13,Leave_Balance!B:B,"Sick")</f>
        <v>0</v>
      </c>
      <c r="G13" s="24">
        <f t="shared" si="0"/>
        <v>0</v>
      </c>
    </row>
    <row r="14" spans="1:7" ht="15.75" x14ac:dyDescent="0.25">
      <c r="A14" s="22" t="s">
        <v>44</v>
      </c>
      <c r="B14" s="23" t="str">
        <f>IFERROR(VLOOKUP(A14,'EMPLOYEE MASTER'!A:D,2,FALSE),"")</f>
        <v>Deepak Mishra</v>
      </c>
      <c r="C14" s="23" t="str">
        <f>IFERROR(VLOOKUP('leave summary'!A14,'EMPLOYEE MASTER'!$A$2:$C$41,3,0),"")</f>
        <v>Operations</v>
      </c>
      <c r="D14" s="22">
        <f>SUMIFS(Leave_Balance!E:E,Leave_Balance!A:A,A14,Leave_Balance!B:B,"Annual")</f>
        <v>0</v>
      </c>
      <c r="E14" s="22">
        <f>SUMIFS(Leave_Balance!E:E,Leave_Balance!A:A,A14,Leave_Balance!B:B,"Casual")</f>
        <v>0</v>
      </c>
      <c r="F14" s="22">
        <f>SUMIFS(Leave_Balance!E:E,Leave_Balance!A:A,A14,Leave_Balance!B:B,"Sick")</f>
        <v>0</v>
      </c>
      <c r="G14" s="24">
        <f t="shared" si="0"/>
        <v>0</v>
      </c>
    </row>
    <row r="15" spans="1:7" ht="15.75" x14ac:dyDescent="0.25">
      <c r="A15" s="22" t="s">
        <v>1</v>
      </c>
      <c r="B15" s="23" t="str">
        <f>IFERROR(VLOOKUP(A15,'EMPLOYEE MASTER'!A:D,2,FALSE),"")</f>
        <v>Rahul Nair</v>
      </c>
      <c r="C15" s="23" t="str">
        <f>IFERROR(VLOOKUP('leave summary'!A15,'EMPLOYEE MASTER'!$A$2:$C$41,3,0),"")</f>
        <v>Logistics</v>
      </c>
      <c r="D15" s="22">
        <f>SUMIFS(Leave_Balance!E:E,Leave_Balance!A:A,A15,Leave_Balance!B:B,"Annual")</f>
        <v>0</v>
      </c>
      <c r="E15" s="22">
        <f>SUMIFS(Leave_Balance!E:E,Leave_Balance!A:A,A15,Leave_Balance!B:B,"Casual")</f>
        <v>0</v>
      </c>
      <c r="F15" s="22">
        <f>SUMIFS(Leave_Balance!E:E,Leave_Balance!A:A,A15,Leave_Balance!B:B,"Sick")</f>
        <v>10</v>
      </c>
      <c r="G15" s="24">
        <f t="shared" si="0"/>
        <v>10</v>
      </c>
    </row>
    <row r="16" spans="1:7" x14ac:dyDescent="0.25">
      <c r="B16" t="str">
        <f>IFERROR(VLOOKUP(A16,'EMPLOYEE MASTER'!A:D,2,FALSE),"")</f>
        <v/>
      </c>
      <c r="C16" t="str">
        <f>IFERROR(VLOOKUP('leave summary'!A16,'EMPLOYEE MASTER'!$A$2:$C$41,3,0),"")</f>
        <v/>
      </c>
    </row>
    <row r="36" spans="2:3" x14ac:dyDescent="0.25">
      <c r="B36" t="str">
        <f>IFERROR(VLOOKUP(A36,'EMPLOYEE MASTER'!A:D,2,FALSE),"")</f>
        <v/>
      </c>
      <c r="C36" t="str">
        <f>IFERROR(VLOOKUP('leave summary'!A36,'EMPLOYEE MASTER'!$A$2:$C$41,3,0),"")</f>
        <v/>
      </c>
    </row>
    <row r="37" spans="2:3" x14ac:dyDescent="0.25">
      <c r="B37" t="str">
        <f>IFERROR(VLOOKUP(A37,'EMPLOYEE MASTER'!A:D,2,FALSE),"")</f>
        <v/>
      </c>
      <c r="C37" t="str">
        <f>IFERROR(VLOOKUP('leave summary'!A37,'EMPLOYEE MASTER'!$A$2:$C$41,3,0),"")</f>
        <v/>
      </c>
    </row>
    <row r="38" spans="2:3" x14ac:dyDescent="0.25">
      <c r="B38" t="str">
        <f>IFERROR(VLOOKUP(A38,'EMPLOYEE MASTER'!A:D,2,FALSE),"")</f>
        <v/>
      </c>
      <c r="C38" t="str">
        <f>IFERROR(VLOOKUP('leave summary'!A38,'EMPLOYEE MASTER'!$A$2:$C$41,3,0),"")</f>
        <v/>
      </c>
    </row>
    <row r="39" spans="2:3" x14ac:dyDescent="0.25">
      <c r="B39" t="str">
        <f>IFERROR(VLOOKUP(A39,'EMPLOYEE MASTER'!A:D,2,FALSE),"")</f>
        <v/>
      </c>
      <c r="C39" t="str">
        <f>IFERROR(VLOOKUP('leave summary'!A39,'EMPLOYEE MASTER'!$A$2:$C$41,3,0),"")</f>
        <v/>
      </c>
    </row>
    <row r="40" spans="2:3" x14ac:dyDescent="0.25">
      <c r="B40" t="str">
        <f>IFERROR(VLOOKUP(A40,'EMPLOYEE MASTER'!A:D,2,FALSE),"")</f>
        <v/>
      </c>
      <c r="C40" t="str">
        <f>IFERROR(VLOOKUP('leave summary'!A40,'EMPLOYEE MASTER'!$A$2:$C$41,3,0),"")</f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C6E5A7-8CF3-47EE-A3EB-9E04294A7A05}">
          <x14:formula1>
            <xm:f>'EMPLOYEE MASTER'!$A:$A</xm:f>
          </x14:formula1>
          <xm:sqref>A1:A16 A36:A1048576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MASTER</vt:lpstr>
      <vt:lpstr>leave appication</vt:lpstr>
      <vt:lpstr>Leave_Balance</vt:lpstr>
      <vt:lpstr>leave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user3</cp:lastModifiedBy>
  <dcterms:created xsi:type="dcterms:W3CDTF">2026-02-25T08:07:38Z</dcterms:created>
  <dcterms:modified xsi:type="dcterms:W3CDTF">2026-02-28T10:47:23Z</dcterms:modified>
</cp:coreProperties>
</file>